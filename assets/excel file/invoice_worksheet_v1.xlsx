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o\Desktop\Hao Dong io\haodong191.github.io\invoice\"/>
    </mc:Choice>
  </mc:AlternateContent>
  <xr:revisionPtr revIDLastSave="0" documentId="13_ncr:1_{E4251AAB-C637-48A0-9048-B868C3EBBA2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 a="1"/>
  <c r="S3" i="1" s="1"/>
  <c r="U3" i="1" s="1"/>
  <c r="O3" i="1"/>
  <c r="O53" i="1"/>
  <c r="O54" i="1"/>
  <c r="O55" i="1"/>
  <c r="O56" i="1"/>
  <c r="O5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P52" i="1" a="1"/>
  <c r="P52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3" i="1" a="1"/>
  <c r="P3" i="1" s="1"/>
  <c r="Q53" i="1" a="1"/>
  <c r="Q53" i="1" s="1"/>
  <c r="R53" i="1" s="1" a="1"/>
  <c r="R53" i="1" s="1"/>
  <c r="L53" i="1"/>
  <c r="L54" i="1"/>
  <c r="L55" i="1"/>
  <c r="L56" i="1"/>
  <c r="L57" i="1"/>
  <c r="X13" i="1"/>
  <c r="X4" i="1"/>
  <c r="Q57" i="1" a="1"/>
  <c r="Q57" i="1" s="1"/>
  <c r="R57" i="1" s="1" a="1"/>
  <c r="R57" i="1" s="1"/>
  <c r="Q56" i="1" a="1"/>
  <c r="Q56" i="1" s="1"/>
  <c r="R56" i="1" s="1" a="1"/>
  <c r="R56" i="1" s="1"/>
  <c r="Q55" i="1" a="1"/>
  <c r="Q55" i="1" s="1"/>
  <c r="R55" i="1" s="1" a="1"/>
  <c r="R55" i="1" s="1"/>
  <c r="Q54" i="1" a="1"/>
  <c r="Q54" i="1" s="1"/>
  <c r="R54" i="1" s="1" a="1"/>
  <c r="R54" i="1" s="1"/>
  <c r="L2" i="4"/>
  <c r="L3" i="4"/>
  <c r="L4" i="4"/>
  <c r="L5" i="4"/>
  <c r="L1" i="4"/>
  <c r="G2" i="4"/>
  <c r="G3" i="4"/>
  <c r="G4" i="4"/>
  <c r="G5" i="4"/>
  <c r="G1" i="4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3" i="1" a="1"/>
  <c r="Q3" i="1" s="1"/>
  <c r="E4" i="2"/>
  <c r="E3" i="2"/>
  <c r="X2" i="2" a="1"/>
  <c r="X2" i="2" s="1"/>
  <c r="P3" i="2" a="1"/>
  <c r="P3" i="2" s="1"/>
  <c r="O3" i="2"/>
  <c r="L3" i="2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3" i="1"/>
  <c r="X8" i="1" l="1"/>
  <c r="X17" i="1"/>
  <c r="V3" i="1"/>
  <c r="U31" i="1"/>
  <c r="U30" i="1"/>
  <c r="U29" i="1"/>
  <c r="U28" i="1"/>
  <c r="U27" i="1"/>
  <c r="U50" i="1"/>
  <c r="U26" i="1"/>
  <c r="U49" i="1"/>
  <c r="U25" i="1"/>
  <c r="U48" i="1"/>
  <c r="U24" i="1"/>
  <c r="U47" i="1"/>
  <c r="U23" i="1"/>
  <c r="U46" i="1"/>
  <c r="U22" i="1"/>
  <c r="U45" i="1"/>
  <c r="U21" i="1"/>
  <c r="U44" i="1"/>
  <c r="U20" i="1"/>
  <c r="U43" i="1"/>
  <c r="U19" i="1"/>
  <c r="U42" i="1"/>
  <c r="U18" i="1"/>
  <c r="U41" i="1"/>
  <c r="U17" i="1"/>
  <c r="U40" i="1"/>
  <c r="U16" i="1"/>
  <c r="U39" i="1"/>
  <c r="U15" i="1"/>
  <c r="U38" i="1"/>
  <c r="U14" i="1"/>
  <c r="U37" i="1"/>
  <c r="U13" i="1"/>
  <c r="U36" i="1"/>
  <c r="U12" i="1"/>
  <c r="U35" i="1"/>
  <c r="U11" i="1"/>
  <c r="U34" i="1"/>
  <c r="U10" i="1"/>
  <c r="U33" i="1"/>
  <c r="U9" i="1"/>
  <c r="U32" i="1"/>
  <c r="U8" i="1"/>
  <c r="R39" i="1" a="1"/>
  <c r="R39" i="1" s="1"/>
  <c r="R15" i="1" a="1"/>
  <c r="R15" i="1" s="1"/>
  <c r="R38" i="1" a="1"/>
  <c r="R38" i="1" s="1"/>
  <c r="R14" i="1" a="1"/>
  <c r="R14" i="1" s="1"/>
  <c r="R37" i="1" a="1"/>
  <c r="R37" i="1" s="1"/>
  <c r="R13" i="1" a="1"/>
  <c r="R13" i="1" s="1"/>
  <c r="R36" i="1" a="1"/>
  <c r="R36" i="1" s="1"/>
  <c r="R12" i="1" a="1"/>
  <c r="R12" i="1" s="1"/>
  <c r="R35" i="1" a="1"/>
  <c r="R35" i="1" s="1"/>
  <c r="R11" i="1" a="1"/>
  <c r="R11" i="1" s="1"/>
  <c r="R34" i="1" a="1"/>
  <c r="R34" i="1" s="1"/>
  <c r="R10" i="1" a="1"/>
  <c r="R10" i="1" s="1"/>
  <c r="R33" i="1" a="1"/>
  <c r="R33" i="1" s="1"/>
  <c r="R9" i="1" a="1"/>
  <c r="R9" i="1" s="1"/>
  <c r="R32" i="1" a="1"/>
  <c r="R32" i="1" s="1"/>
  <c r="R8" i="1" a="1"/>
  <c r="R8" i="1" s="1"/>
  <c r="R31" i="1" a="1"/>
  <c r="R31" i="1" s="1"/>
  <c r="R7" i="1" a="1"/>
  <c r="R7" i="1" s="1"/>
  <c r="R30" i="1" a="1"/>
  <c r="R30" i="1" s="1"/>
  <c r="R6" i="1" a="1"/>
  <c r="R6" i="1" s="1"/>
  <c r="R3" i="1" a="1"/>
  <c r="R3" i="1" s="1"/>
  <c r="R29" i="1" a="1"/>
  <c r="R29" i="1" s="1"/>
  <c r="R5" i="1" a="1"/>
  <c r="R5" i="1" s="1"/>
  <c r="R52" i="1" a="1"/>
  <c r="R52" i="1" s="1"/>
  <c r="R28" i="1" a="1"/>
  <c r="R28" i="1" s="1"/>
  <c r="R4" i="1" a="1"/>
  <c r="R4" i="1" s="1"/>
  <c r="R51" i="1" a="1"/>
  <c r="R51" i="1" s="1"/>
  <c r="R27" i="1" a="1"/>
  <c r="R27" i="1" s="1"/>
  <c r="R50" i="1" a="1"/>
  <c r="R50" i="1" s="1"/>
  <c r="R26" i="1" a="1"/>
  <c r="R26" i="1" s="1"/>
  <c r="R49" i="1" a="1"/>
  <c r="R49" i="1" s="1"/>
  <c r="R25" i="1" a="1"/>
  <c r="R25" i="1" s="1"/>
  <c r="R48" i="1" a="1"/>
  <c r="R48" i="1" s="1"/>
  <c r="R24" i="1" a="1"/>
  <c r="R24" i="1" s="1"/>
  <c r="U7" i="1"/>
  <c r="R47" i="1" a="1"/>
  <c r="R47" i="1" s="1"/>
  <c r="R23" i="1" a="1"/>
  <c r="R23" i="1" s="1"/>
  <c r="U6" i="1"/>
  <c r="R46" i="1" a="1"/>
  <c r="R46" i="1" s="1"/>
  <c r="R22" i="1" a="1"/>
  <c r="R22" i="1" s="1"/>
  <c r="U5" i="1"/>
  <c r="R45" i="1" a="1"/>
  <c r="R45" i="1" s="1"/>
  <c r="R21" i="1" a="1"/>
  <c r="R21" i="1" s="1"/>
  <c r="U4" i="1"/>
  <c r="R44" i="1" a="1"/>
  <c r="R44" i="1" s="1"/>
  <c r="R20" i="1" a="1"/>
  <c r="R20" i="1" s="1"/>
  <c r="R43" i="1" a="1"/>
  <c r="R43" i="1" s="1"/>
  <c r="R19" i="1" a="1"/>
  <c r="R19" i="1" s="1"/>
  <c r="V7" i="1"/>
  <c r="R42" i="1" a="1"/>
  <c r="R42" i="1" s="1"/>
  <c r="R18" i="1" a="1"/>
  <c r="R18" i="1" s="1"/>
  <c r="V6" i="1"/>
  <c r="R41" i="1" a="1"/>
  <c r="R41" i="1" s="1"/>
  <c r="R17" i="1" a="1"/>
  <c r="R17" i="1" s="1"/>
  <c r="V5" i="1"/>
  <c r="R40" i="1" a="1"/>
  <c r="R40" i="1" s="1"/>
  <c r="R16" i="1" a="1"/>
  <c r="R16" i="1" s="1"/>
  <c r="V4" i="1"/>
  <c r="X22" i="1" l="1" a="1"/>
  <c r="X22" i="1" s="1"/>
  <c r="X26" i="1" a="1"/>
  <c r="X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<sst xmlns="http://schemas.openxmlformats.org/spreadsheetml/2006/main" count="398" uniqueCount="148">
  <si>
    <t>Input</t>
  </si>
  <si>
    <t>SKU</t>
  </si>
  <si>
    <t>QTY</t>
  </si>
  <si>
    <t>Unit Cost</t>
  </si>
  <si>
    <t>Total Cost</t>
  </si>
  <si>
    <t>Distributor</t>
  </si>
  <si>
    <t>Helmet House</t>
  </si>
  <si>
    <t>Product Name</t>
  </si>
  <si>
    <t>0872-1901-03</t>
  </si>
  <si>
    <t>0872-1901-04</t>
  </si>
  <si>
    <t>0872-1901-05</t>
  </si>
  <si>
    <t>In Stock: Ships within 24 hours</t>
  </si>
  <si>
    <t>0872-1901-06</t>
  </si>
  <si>
    <t>0872-1901-07</t>
  </si>
  <si>
    <t>0872-1901-08</t>
  </si>
  <si>
    <t>MFG SKU</t>
  </si>
  <si>
    <t>Cortech Chicane Leather Jacket Black / XL</t>
  </si>
  <si>
    <t>0120-1205-03</t>
  </si>
  <si>
    <t>0120-1205-04</t>
  </si>
  <si>
    <t>0120-1205-05</t>
  </si>
  <si>
    <t>0120-1205-06</t>
  </si>
  <si>
    <t>0120-1205-07</t>
  </si>
  <si>
    <t>0120-1205-08</t>
  </si>
  <si>
    <t>0120-1203-03</t>
  </si>
  <si>
    <t>0120-1203-04</t>
  </si>
  <si>
    <t>0120-1203-05</t>
  </si>
  <si>
    <t>0120-1203-06</t>
  </si>
  <si>
    <t>0120-1203-07</t>
  </si>
  <si>
    <t>0120-1203-08</t>
  </si>
  <si>
    <t>0120-1201-03</t>
  </si>
  <si>
    <t>0120-1201-04</t>
  </si>
  <si>
    <t>0120-1201-05</t>
  </si>
  <si>
    <t>0120-1201-06</t>
  </si>
  <si>
    <t>0120-1201-07</t>
  </si>
  <si>
    <t>0120-1201-08</t>
  </si>
  <si>
    <t>0120-1210-03</t>
  </si>
  <si>
    <t>0120-1210-04</t>
  </si>
  <si>
    <t>0120-1210-05</t>
  </si>
  <si>
    <t>0120-1210-06</t>
  </si>
  <si>
    <t>0120-1210-07</t>
  </si>
  <si>
    <t>0120-1210-08</t>
  </si>
  <si>
    <t>Received</t>
  </si>
  <si>
    <t>Output</t>
  </si>
  <si>
    <t>Missing</t>
  </si>
  <si>
    <t>Total Missing Cost</t>
  </si>
  <si>
    <t>Total Pay To Distributor</t>
  </si>
  <si>
    <t>Invoiced</t>
  </si>
  <si>
    <t>2XL / Purple/Green/White</t>
  </si>
  <si>
    <t>Only 3 Left: Ships within 24 hours</t>
  </si>
  <si>
    <t>XL / Purple/Green/White</t>
  </si>
  <si>
    <t>LG / Purple/Green/White</t>
  </si>
  <si>
    <t>MD / Purple/Green/White</t>
  </si>
  <si>
    <t>SM / Purple/Green/White</t>
  </si>
  <si>
    <t>Only 2 Left: Ships within 24 hours</t>
  </si>
  <si>
    <t>HJC RPHA 1N Joker Helmet</t>
  </si>
  <si>
    <t>Extra Items</t>
  </si>
  <si>
    <t>Quick View</t>
  </si>
  <si>
    <t>Total QTY Received</t>
  </si>
  <si>
    <t>Total Value Received</t>
  </si>
  <si>
    <t>Total Value Not Received</t>
  </si>
  <si>
    <t>Total QTY Not Received</t>
  </si>
  <si>
    <t>Total Extra QTY</t>
  </si>
  <si>
    <t>Total Extra Value</t>
  </si>
  <si>
    <t>Rider’s Depot</t>
  </si>
  <si>
    <t>HCT BFH 12N Venom Helmet XS / Red/Black XS / Red/Black</t>
  </si>
  <si>
    <t>HCT BFH 12N Venom Helmet SM / Red/Black SM / Red/Black</t>
  </si>
  <si>
    <t>HCT BFH 12N Venom Helmet MD / Red/Black MD / Red/Black</t>
  </si>
  <si>
    <t>HCT BFH 12N Venom Helmet LG / Red/Black LG / Red/Black</t>
  </si>
  <si>
    <t>HCT BFH 12N Venom Helmet XL / Red/Black XL / Red/Black</t>
  </si>
  <si>
    <t>HCT BFH 12N Venom Helmet 2XL / Red/Black 2XL / Red/Black</t>
  </si>
  <si>
    <t>HCT BFH 1N Joker Helmet 2XL / Purple/Green/White</t>
  </si>
  <si>
    <t>HCT BFH 1N Joker Helmet XL / Purple/Green/White</t>
  </si>
  <si>
    <t>HCT BFH 1N Joker Helmet LG / Purple/Green/White</t>
  </si>
  <si>
    <t>HCT BFH 1N Joker Helmet MD / Purple/Green/White</t>
  </si>
  <si>
    <t>HCT BFH 1N Joker Helmet SM / Purple/Green/White</t>
  </si>
  <si>
    <t>Globemaster Trek Jacket Black / MD</t>
  </si>
  <si>
    <t>Globemaster Trek Jacket Black / 5XL</t>
  </si>
  <si>
    <t>Globemaster Trek Jacket 2XL / Grey/Grey</t>
  </si>
  <si>
    <t>Globemaster Trek Jacket Black / 4XL</t>
  </si>
  <si>
    <t>Globemaster Trek Jacket Black / 2XL</t>
  </si>
  <si>
    <t>Globemaster Trek Jacket Grey/Black / 2XL</t>
  </si>
  <si>
    <t>Globemaster Trek Jacket MD / Grey/Grey</t>
  </si>
  <si>
    <t>Globemaster Trek Jacket 3XL / Grey/Grey</t>
  </si>
  <si>
    <t>Globemaster Trek Jacket Black / SM</t>
  </si>
  <si>
    <t>Globemaster Trek Jacket Grey/Black / MD</t>
  </si>
  <si>
    <t>Globemaster Trek Jacket Black / XL</t>
  </si>
  <si>
    <t>Globemaster Trek Jacket SM / Grey/Grey</t>
  </si>
  <si>
    <t>Globemaster Trek Jacket LG / Grey/Grey</t>
  </si>
  <si>
    <t>Globemaster Trek Jacket Black / LG</t>
  </si>
  <si>
    <t>Globemaster Trek Jacket Grey/Black / SM</t>
  </si>
  <si>
    <t>Globemaster Trek Jacket XL / Grey/Grey</t>
  </si>
  <si>
    <t>Globemaster Trek Jacket 2XL / Sand/Grey</t>
  </si>
  <si>
    <t>Globemaster Trek Jacket Black / 3XL</t>
  </si>
  <si>
    <t>Globemaster Trek Jacket Grey/Black / 3XL</t>
  </si>
  <si>
    <t>Globemaster Trek Jacket Grey/Black / XL</t>
  </si>
  <si>
    <t>Globemaster Trek Jacket Grey/Black / LG</t>
  </si>
  <si>
    <t>Globemaster Trek Jacket 3XL / Orange/Sand</t>
  </si>
  <si>
    <t>Globemaster Trek Jacket 2XL / Orange/Sand</t>
  </si>
  <si>
    <t>Globemaster Trek Jacket XL / Orange/Sand</t>
  </si>
  <si>
    <t>Globemaster Trek Jacket LG / Orange/Sand</t>
  </si>
  <si>
    <t>Globemaster Trek Jacket MD / Orange/Sand</t>
  </si>
  <si>
    <t>Globemaster Trek Jacket SM / Orange/Sand</t>
  </si>
  <si>
    <t>Globemaster Trek Jacket 3XL / Sand/Grey</t>
  </si>
  <si>
    <t>Globemaster Trek Jacket XL / Sand/Grey</t>
  </si>
  <si>
    <t>Globemaster Trek Jacket LG / Sand/Grey</t>
  </si>
  <si>
    <t>Globemaster Trek Jacket MD / Sand/Grey</t>
  </si>
  <si>
    <t>Globemaster Trek Jacket SM / Sand/Grey</t>
  </si>
  <si>
    <t>Tactic Chicane Leather Jacket Black / XL</t>
  </si>
  <si>
    <t>Tactic Chicane Leather Jacket Black/White / SM</t>
  </si>
  <si>
    <t>Tactic Chicane Leather Jacket Black / 3XL</t>
  </si>
  <si>
    <t>Tactic Chicane Leather Jacket Black / 2XL</t>
  </si>
  <si>
    <t>Tactic Chicane Leather Jacket Black / LG</t>
  </si>
  <si>
    <t>Tactic Chicane Leather Jacket Black / MD</t>
  </si>
  <si>
    <t>Tactic Chicane Leather Jacket Black / SM</t>
  </si>
  <si>
    <t>Tactic Chicane Leather Jacket Black/White / 3XL</t>
  </si>
  <si>
    <t>Tactic Chicane Leather Jacket Black/White / 2XL</t>
  </si>
  <si>
    <t>Tactic Chicane Leather Jacket Black/White / XL</t>
  </si>
  <si>
    <t>Tactic Chicane Leather Jacket Black/White / LG</t>
  </si>
  <si>
    <t>Tactic Chicane Leather Jacket Black/White / MD</t>
  </si>
  <si>
    <t>Tactic Chicane Leather Jacket Black/Red / 2XL</t>
  </si>
  <si>
    <t>Tactic Chicane Leather Jacket Black/Red / XL</t>
  </si>
  <si>
    <t>Tactic Chicane Leather Jacket Black/Red / LG</t>
  </si>
  <si>
    <t>Tactic Chicane Leather Jacket Black/Red / MD</t>
  </si>
  <si>
    <t>Tactic Chicane Leather Jacket Black/Red / SM</t>
  </si>
  <si>
    <t>Voltax Naotec 3 Grasp Helmet XL / White/Blue/Red</t>
  </si>
  <si>
    <t>Voltax Naotec 3 Grasp Helmet White/Matte Black/Red / XS</t>
  </si>
  <si>
    <t>Voltax Naotec 3 Grasp Helmet White/Matte Black/Red / SM</t>
  </si>
  <si>
    <t>Voltax Naotec 3 Grasp Helmet 2XL / White/Blue/Red</t>
  </si>
  <si>
    <t>Voltax Naotec 3 Grasp Helmet LG / White/Blue/Red</t>
  </si>
  <si>
    <t>Voltax Naotec 3 Grasp Helmet SM / Red/Matte Black</t>
  </si>
  <si>
    <t>Voltax Naotec 3 Grasp Helmet White/Matte Black/Red / MD</t>
  </si>
  <si>
    <t>Voltax Naotec 3 Grasp Helmet LG / Red/Matte Black</t>
  </si>
  <si>
    <t>Voltax Naotec 3 Grasp Helmet White/Matte Black/Red / LG</t>
  </si>
  <si>
    <t>Voltax Naotec 3 Grasp Helmet White/Matte Black/Red / XL</t>
  </si>
  <si>
    <t>Voltax Naotec 3 Grasp Helmet SM / White/Blue/Red</t>
  </si>
  <si>
    <t>Voltax Naotec 3 Grasp Helmet White/Matte Black/Red / 2XL</t>
  </si>
  <si>
    <t>Voltax Naotec 3 Grasp Helmet XS / White/Blue/Red</t>
  </si>
  <si>
    <t>Voltax Naotec 3 Grasp Helmet Matte Black/Hi-Viz Yellow / XS</t>
  </si>
  <si>
    <t>Voltax Naotec 3 Grasp Helmet Matte Black/Hi-Viz Yellow / SM</t>
  </si>
  <si>
    <t>Voltax Naotec 3 Grasp Helmet Matte Black/Hi-Viz Yellow / MD</t>
  </si>
  <si>
    <t>Voltax Naotec 3 Grasp Helmet Matte Black/Hi-Viz Yellow / 2XL</t>
  </si>
  <si>
    <t>Voltax Naotec 3 Grasp Helmet Matte Black/Hi-Viz Yellow / LG</t>
  </si>
  <si>
    <t>Voltax Naotec 3 Grasp Helmet Matte Black/Hi-Viz Yellow / XL</t>
  </si>
  <si>
    <t>Voltax Naotec 3 Grasp Helmet XS / Red/Matte Black</t>
  </si>
  <si>
    <t>Voltax Naotec 3 Grasp Helmet MD / Red/Matte Black</t>
  </si>
  <si>
    <t>Voltax Naotec 3 Grasp Helmet XL / Red/Matte Black</t>
  </si>
  <si>
    <t>Voltax Naotec 3 Grasp Helmet 2XL / Red/Matte Black</t>
  </si>
  <si>
    <t>Voltax Naotec 3 Grasp Helmet MD / White/Blue/Red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</si>
</sst>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0" xfId="0" applyNumberFormat="1" applyAlignment="1">
      <alignment horizontal="left"/>
    </xf>
    <xf numFmtId="44" fontId="0" fillId="0" borderId="0" xfId="1" applyFont="1" applyFill="1" applyAlignment="1">
      <alignment horizontal="left"/>
    </xf>
    <xf numFmtId="44" fontId="0" fillId="0" borderId="0" xfId="1" applyFont="1" applyFill="1"/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left"/>
    </xf>
    <xf numFmtId="164" fontId="0" fillId="0" borderId="0" xfId="1" applyNumberFormat="1" applyFont="1" applyFill="1"/>
    <xf numFmtId="0" fontId="0" fillId="0" borderId="3" xfId="0" applyBorder="1" applyAlignment="1">
      <alignment horizontal="left"/>
    </xf>
    <xf numFmtId="0" fontId="0" fillId="0" borderId="3" xfId="0" applyBorder="1"/>
    <xf numFmtId="44" fontId="0" fillId="0" borderId="0" xfId="1" applyFont="1" applyFill="1" applyBorder="1" applyAlignment="1">
      <alignment horizontal="left"/>
    </xf>
    <xf numFmtId="0" fontId="0" fillId="7" borderId="0" xfId="0" applyFill="1"/>
    <xf numFmtId="0" fontId="6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9" fontId="7" fillId="0" borderId="10" xfId="2" applyFont="1" applyBorder="1" applyAlignment="1">
      <alignment horizontal="center"/>
    </xf>
    <xf numFmtId="9" fontId="7" fillId="0" borderId="11" xfId="2" applyFont="1" applyBorder="1" applyAlignment="1">
      <alignment horizontal="center"/>
    </xf>
    <xf numFmtId="9" fontId="7" fillId="0" borderId="12" xfId="2" applyFont="1" applyBorder="1" applyAlignment="1">
      <alignment horizontal="center"/>
    </xf>
    <xf numFmtId="9" fontId="7" fillId="0" borderId="13" xfId="2" applyFont="1" applyBorder="1" applyAlignment="1">
      <alignment horizontal="center"/>
    </xf>
    <xf numFmtId="9" fontId="7" fillId="0" borderId="14" xfId="2" applyFont="1" applyBorder="1" applyAlignment="1">
      <alignment horizontal="center"/>
    </xf>
    <xf numFmtId="9" fontId="7" fillId="0" borderId="15" xfId="2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4" xfId="2" applyNumberFormat="1" applyFont="1" applyBorder="1" applyAlignment="1">
      <alignment horizontal="center"/>
    </xf>
    <xf numFmtId="0" fontId="7" fillId="0" borderId="5" xfId="2" applyNumberFormat="1" applyFont="1" applyBorder="1" applyAlignment="1">
      <alignment horizontal="center"/>
    </xf>
    <xf numFmtId="0" fontId="7" fillId="0" borderId="6" xfId="2" applyNumberFormat="1" applyFont="1" applyBorder="1" applyAlignment="1">
      <alignment horizontal="center"/>
    </xf>
    <xf numFmtId="0" fontId="7" fillId="0" borderId="7" xfId="2" applyNumberFormat="1" applyFont="1" applyBorder="1" applyAlignment="1">
      <alignment horizontal="center"/>
    </xf>
    <xf numFmtId="0" fontId="7" fillId="0" borderId="8" xfId="2" applyNumberFormat="1" applyFont="1" applyBorder="1" applyAlignment="1">
      <alignment horizontal="center"/>
    </xf>
    <xf numFmtId="0" fontId="7" fillId="0" borderId="9" xfId="2" applyNumberFormat="1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164" fontId="7" fillId="0" borderId="6" xfId="1" applyNumberFormat="1" applyFont="1" applyBorder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164" fontId="7" fillId="0" borderId="9" xfId="1" applyNumberFormat="1" applyFont="1" applyBorder="1" applyAlignment="1">
      <alignment horizontal="center"/>
    </xf>
    <xf numFmtId="164" fontId="7" fillId="0" borderId="10" xfId="1" applyNumberFormat="1" applyFont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164" fontId="7" fillId="0" borderId="14" xfId="1" applyNumberFormat="1" applyFont="1" applyBorder="1" applyAlignment="1">
      <alignment horizontal="center"/>
    </xf>
    <xf numFmtId="164" fontId="7" fillId="0" borderId="15" xfId="1" applyNumberFormat="1" applyFont="1" applyBorder="1" applyAlignment="1">
      <alignment horizontal="center"/>
    </xf>
    <xf numFmtId="0" fontId="6" fillId="8" borderId="0" xfId="0" applyFont="1" applyFill="1" applyAlignment="1">
      <alignment horizontal="center"/>
    </xf>
    <xf numFmtId="9" fontId="7" fillId="0" borderId="16" xfId="2" applyFont="1" applyBorder="1" applyAlignment="1">
      <alignment horizontal="center"/>
    </xf>
    <xf numFmtId="9" fontId="7" fillId="0" borderId="17" xfId="2" applyFont="1" applyBorder="1" applyAlignment="1">
      <alignment horizontal="center"/>
    </xf>
    <xf numFmtId="9" fontId="7" fillId="0" borderId="18" xfId="2" applyFont="1" applyBorder="1" applyAlignment="1">
      <alignment horizontal="center"/>
    </xf>
    <xf numFmtId="9" fontId="7" fillId="0" borderId="19" xfId="2" applyFont="1" applyBorder="1" applyAlignment="1">
      <alignment horizontal="center"/>
    </xf>
    <xf numFmtId="9" fontId="7" fillId="0" borderId="20" xfId="2" applyFont="1" applyBorder="1" applyAlignment="1">
      <alignment horizontal="center"/>
    </xf>
    <xf numFmtId="9" fontId="7" fillId="0" borderId="21" xfId="2" applyFont="1" applyBorder="1" applyAlignment="1">
      <alignment horizontal="center"/>
    </xf>
    <xf numFmtId="164" fontId="7" fillId="0" borderId="16" xfId="1" applyNumberFormat="1" applyFont="1" applyBorder="1" applyAlignment="1">
      <alignment horizontal="center"/>
    </xf>
    <xf numFmtId="164" fontId="7" fillId="0" borderId="17" xfId="1" applyNumberFormat="1" applyFont="1" applyBorder="1" applyAlignment="1">
      <alignment horizontal="center"/>
    </xf>
    <xf numFmtId="164" fontId="7" fillId="0" borderId="18" xfId="1" applyNumberFormat="1" applyFont="1" applyBorder="1" applyAlignment="1">
      <alignment horizontal="center"/>
    </xf>
    <xf numFmtId="164" fontId="7" fillId="0" borderId="19" xfId="1" applyNumberFormat="1" applyFont="1" applyBorder="1" applyAlignment="1">
      <alignment horizontal="center"/>
    </xf>
    <xf numFmtId="164" fontId="7" fillId="0" borderId="20" xfId="1" applyNumberFormat="1" applyFont="1" applyBorder="1" applyAlignment="1">
      <alignment horizontal="center"/>
    </xf>
    <xf numFmtId="164" fontId="7" fillId="0" borderId="2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zoomScale="85" zoomScaleNormal="85" workbookViewId="0">
      <selection activeCell="F23" sqref="F23"/>
    </sheetView>
  </sheetViews>
  <sheetFormatPr defaultRowHeight="15" x14ac:dyDescent="0.25"/>
  <cols>
    <col min="1" max="1" width="11.28515625" bestFit="1" customWidth="1"/>
    <col min="2" max="2" width="13.5703125" style="1" bestFit="1" customWidth="1"/>
    <col min="3" max="3" width="4.42578125" bestFit="1" customWidth="1"/>
    <col min="4" max="4" width="10.42578125" style="9" bestFit="1" customWidth="1"/>
    <col min="5" max="5" width="12.28515625" style="9" bestFit="1" customWidth="1"/>
    <col min="6" max="6" width="56.7109375" bestFit="1" customWidth="1"/>
    <col min="7" max="7" width="13.7109375" style="6" bestFit="1" customWidth="1"/>
    <col min="8" max="8" width="10.140625" bestFit="1" customWidth="1"/>
    <col min="9" max="9" width="13.5703125" bestFit="1" customWidth="1"/>
    <col min="10" max="10" width="4.42578125" bestFit="1" customWidth="1"/>
    <col min="11" max="11" width="10.42578125" style="9" bestFit="1" customWidth="1"/>
    <col min="12" max="12" width="12.28515625" style="9" bestFit="1" customWidth="1"/>
    <col min="13" max="13" width="56.7109375" bestFit="1" customWidth="1"/>
    <col min="14" max="14" width="13.7109375" style="14" bestFit="1" customWidth="1"/>
    <col min="15" max="15" width="10.140625" bestFit="1" customWidth="1"/>
    <col min="16" max="16" width="9.5703125" bestFit="1" customWidth="1"/>
    <col min="17" max="17" width="17.140625" style="2" bestFit="1" customWidth="1"/>
    <col min="18" max="18" width="22" bestFit="1" customWidth="1"/>
    <col min="19" max="19" width="10.140625" bestFit="1" customWidth="1"/>
    <col min="20" max="20" width="49.28515625" bestFit="1" customWidth="1"/>
    <col min="21" max="21" width="5.5703125" bestFit="1" customWidth="1"/>
    <col min="22" max="22" width="10" bestFit="1" customWidth="1"/>
    <col min="23" max="28" width="11" customWidth="1"/>
  </cols>
  <sheetData>
    <row r="1" spans="1:28" ht="31.5" x14ac:dyDescent="0.5">
      <c r="A1" s="25" t="s">
        <v>46</v>
      </c>
      <c r="B1" s="25"/>
      <c r="C1" s="25"/>
      <c r="D1" s="25"/>
      <c r="E1" s="25"/>
      <c r="F1" s="25"/>
      <c r="G1" s="25"/>
      <c r="H1" s="26" t="s">
        <v>41</v>
      </c>
      <c r="I1" s="26"/>
      <c r="J1" s="26"/>
      <c r="K1" s="26"/>
      <c r="L1" s="26"/>
      <c r="M1" s="26"/>
      <c r="N1" s="26"/>
      <c r="O1" s="27" t="s">
        <v>42</v>
      </c>
      <c r="P1" s="27"/>
      <c r="Q1" s="27"/>
      <c r="R1" s="27"/>
      <c r="S1" s="28" t="s">
        <v>55</v>
      </c>
      <c r="T1" s="28"/>
      <c r="U1" s="28"/>
      <c r="V1" s="28"/>
      <c r="W1" s="18" t="s">
        <v>56</v>
      </c>
      <c r="X1" s="18"/>
      <c r="Y1" s="18"/>
      <c r="Z1" s="18"/>
      <c r="AA1" s="18"/>
      <c r="AB1" s="18"/>
    </row>
    <row r="2" spans="1:28" x14ac:dyDescent="0.25">
      <c r="A2" s="3" t="s">
        <v>1</v>
      </c>
      <c r="B2" s="4" t="s">
        <v>15</v>
      </c>
      <c r="C2" s="3" t="s">
        <v>2</v>
      </c>
      <c r="D2" s="8" t="s">
        <v>3</v>
      </c>
      <c r="E2" s="8" t="s">
        <v>4</v>
      </c>
      <c r="F2" s="3" t="s">
        <v>7</v>
      </c>
      <c r="G2" s="5" t="s">
        <v>5</v>
      </c>
      <c r="H2" s="3" t="s">
        <v>1</v>
      </c>
      <c r="I2" s="3" t="s">
        <v>15</v>
      </c>
      <c r="J2" s="3" t="s">
        <v>2</v>
      </c>
      <c r="K2" s="8" t="s">
        <v>3</v>
      </c>
      <c r="L2" s="8" t="s">
        <v>4</v>
      </c>
      <c r="M2" s="3" t="s">
        <v>7</v>
      </c>
      <c r="N2" s="13" t="s">
        <v>5</v>
      </c>
      <c r="O2" s="3" t="s">
        <v>1</v>
      </c>
      <c r="P2" s="3" t="s">
        <v>43</v>
      </c>
      <c r="Q2" s="7" t="s">
        <v>44</v>
      </c>
      <c r="R2" s="3" t="s">
        <v>45</v>
      </c>
      <c r="S2" s="3" t="s">
        <v>1</v>
      </c>
      <c r="T2" s="3"/>
      <c r="U2" s="3" t="s">
        <v>2</v>
      </c>
      <c r="V2" s="3" t="s">
        <v>4</v>
      </c>
      <c r="W2" s="3"/>
      <c r="X2" s="17" t="s">
        <v>57</v>
      </c>
      <c r="Y2" s="17"/>
      <c r="Z2" s="17"/>
      <c r="AA2" s="17"/>
    </row>
    <row r="3" spans="1:28" ht="15.75" thickBot="1" x14ac:dyDescent="0.3">
      <c r="A3" s="3">
        <v>10457328</v>
      </c>
      <c r="B3" s="4" t="s">
        <v>8</v>
      </c>
      <c r="C3" s="3">
        <v>16</v>
      </c>
      <c r="D3" s="8">
        <v>524.99250000000006</v>
      </c>
      <c r="E3" s="8">
        <f>D3*C3</f>
        <v>8399.880000000001</v>
      </c>
      <c r="F3" s="3" t="s">
        <v>64</v>
      </c>
      <c r="G3" s="5" t="s">
        <v>63</v>
      </c>
      <c r="H3" s="3">
        <v>10427570</v>
      </c>
      <c r="I3" s="3">
        <v>8980210507</v>
      </c>
      <c r="J3" s="3">
        <v>7</v>
      </c>
      <c r="K3" s="8">
        <v>149.49350000000001</v>
      </c>
      <c r="L3" s="8">
        <f>J3*K3</f>
        <v>1046.4545000000001</v>
      </c>
      <c r="M3" s="3" t="s">
        <v>107</v>
      </c>
      <c r="N3" s="13" t="s">
        <v>63</v>
      </c>
      <c r="O3">
        <f>IFERROR(INDEX(A:A, MATCH(H3, A:A, 0)), "No Match")</f>
        <v>10427570</v>
      </c>
      <c r="P3" cm="1">
        <f t="array" ref="P3">_xlfn._xlws.FILTER(J3 - C:C, A:A = H3, "No match")</f>
        <v>-2</v>
      </c>
      <c r="Q3" s="12" cm="1">
        <f t="array" ref="Q3">_xlfn._xlws.FILTER(ABS((J3 - $C$1:$C$100) * K3), $A$1:$A$100 = H3, "No match")</f>
        <v>298.98700000000002</v>
      </c>
      <c r="R3" s="12" cm="1">
        <f t="array" ref="R3">_xlfn._xlws.FILTER(($E$1:$E$100-Q3), $A$1:$A$100 = H3, "No match")</f>
        <v>1046.4545000000001</v>
      </c>
      <c r="S3" cm="1">
        <f t="array" ref="S3:T50">_xlfn._xlws.FILTER(CHOOSE({1,2}, H3:H100, M3:M100), ISNA(MATCH(H3:H100, A3:A100, 0)))</f>
        <v>10353748</v>
      </c>
      <c r="T3" t="str">
        <v>HCT BFH 1N Joker Helmet 2XL / Purple/Green/White</v>
      </c>
      <c r="U3">
        <f>INDEX(J:J, MATCH(S3, H:H, 0))</f>
        <v>5</v>
      </c>
      <c r="V3" s="2">
        <f>INDEX(J:J, MATCH(S3, H:H, 0)) * INDEX(K:K, MATCH(S3, H:H, 0))</f>
        <v>2799.9600000000005</v>
      </c>
      <c r="W3" s="2"/>
      <c r="X3" s="17"/>
      <c r="Y3" s="17"/>
      <c r="Z3" s="17"/>
      <c r="AA3" s="17"/>
    </row>
    <row r="4" spans="1:28" x14ac:dyDescent="0.25">
      <c r="A4" s="3">
        <v>10457329</v>
      </c>
      <c r="B4" s="4" t="s">
        <v>9</v>
      </c>
      <c r="C4" s="3">
        <v>21</v>
      </c>
      <c r="D4" s="8">
        <v>524.99250000000006</v>
      </c>
      <c r="E4" s="8">
        <f t="shared" ref="E4:E67" si="0">D4*C4</f>
        <v>11024.842500000001</v>
      </c>
      <c r="F4" s="3" t="s">
        <v>65</v>
      </c>
      <c r="G4" s="5" t="s">
        <v>63</v>
      </c>
      <c r="H4" s="3">
        <v>10427190</v>
      </c>
      <c r="I4" s="3">
        <v>8801010505</v>
      </c>
      <c r="J4" s="3">
        <v>20</v>
      </c>
      <c r="K4" s="8">
        <v>167.994</v>
      </c>
      <c r="L4" s="8">
        <f t="shared" ref="L4:L57" si="1">J4*K4</f>
        <v>3359.88</v>
      </c>
      <c r="M4" s="3" t="s">
        <v>75</v>
      </c>
      <c r="N4" s="13" t="s">
        <v>63</v>
      </c>
      <c r="O4">
        <f t="shared" ref="O4:O57" si="2">IFERROR(INDEX(A:A, MATCH(H4, A:A, 0)), "No Match")</f>
        <v>10427190</v>
      </c>
      <c r="P4" cm="1">
        <f t="array" ref="P4">_xlfn._xlws.FILTER(J4 - C:C, A:A = H4, "No match")</f>
        <v>-5</v>
      </c>
      <c r="Q4" s="12" cm="1">
        <f t="array" ref="Q4">_xlfn._xlws.FILTER(ABS((J4 - $C$1:$C$100) * K4), $A$1:$A$100 = H4, "No match")</f>
        <v>839.97</v>
      </c>
      <c r="R4" s="12" cm="1">
        <f t="array" ref="R4">_xlfn._xlws.FILTER(($E$1:$E$100-Q4), $A$1:$A$100 = H4, "No match")</f>
        <v>3359.88</v>
      </c>
      <c r="S4">
        <v>10353749</v>
      </c>
      <c r="T4" t="str">
        <v>HCT BFH 1N Joker Helmet XL / Purple/Green/White</v>
      </c>
      <c r="U4">
        <f t="shared" ref="U4:U50" si="3">INDEX(J:J, MATCH(S4, H:H, 0))</f>
        <v>3</v>
      </c>
      <c r="V4" s="2">
        <f t="shared" ref="V4:V7" si="4">INDEX(J:J, MATCH(S4, H:H, 0)) * INDEX(K:K, MATCH(S4, H:H, 0))</f>
        <v>1679.9760000000001</v>
      </c>
      <c r="W4" s="2"/>
      <c r="X4" s="19">
        <f>SUM(J1:J100) / SUM(C1:C100)</f>
        <v>0.5734526472781506</v>
      </c>
      <c r="Y4" s="20"/>
      <c r="Z4" s="20"/>
      <c r="AA4" s="21"/>
    </row>
    <row r="5" spans="1:28" ht="15.75" thickBot="1" x14ac:dyDescent="0.3">
      <c r="A5" s="3">
        <v>10457330</v>
      </c>
      <c r="B5" s="4" t="s">
        <v>10</v>
      </c>
      <c r="C5" s="3">
        <v>11</v>
      </c>
      <c r="D5" s="8">
        <v>524.99250000000006</v>
      </c>
      <c r="E5" s="8">
        <f t="shared" si="0"/>
        <v>5774.9175000000005</v>
      </c>
      <c r="F5" s="3" t="s">
        <v>66</v>
      </c>
      <c r="G5" s="5" t="s">
        <v>63</v>
      </c>
      <c r="H5" s="3">
        <v>10377115</v>
      </c>
      <c r="I5" s="3" t="s">
        <v>39</v>
      </c>
      <c r="J5" s="3">
        <v>29</v>
      </c>
      <c r="K5" s="8">
        <v>839.99200000000008</v>
      </c>
      <c r="L5" s="8">
        <f t="shared" si="1"/>
        <v>24359.768000000004</v>
      </c>
      <c r="M5" s="3" t="s">
        <v>124</v>
      </c>
      <c r="N5" s="13" t="s">
        <v>63</v>
      </c>
      <c r="O5">
        <f t="shared" si="2"/>
        <v>10377115</v>
      </c>
      <c r="P5" cm="1">
        <f t="array" ref="P5">_xlfn._xlws.FILTER(J5 - C:C, A:A = H5, "No match")</f>
        <v>-1</v>
      </c>
      <c r="Q5" s="12" cm="1">
        <f t="array" ref="Q5">_xlfn._xlws.FILTER(ABS((J5 - $C$1:$C$100) * K5), $A$1:$A$100 = H5, "No match")</f>
        <v>839.99200000000008</v>
      </c>
      <c r="R5" s="12" cm="1">
        <f t="array" ref="R5">_xlfn._xlws.FILTER(($E$1:$E$100-Q5), $A$1:$A$100 = H5, "No match")</f>
        <v>24359.768000000004</v>
      </c>
      <c r="S5">
        <v>10353750</v>
      </c>
      <c r="T5" t="str">
        <v>HCT BFH 1N Joker Helmet LG / Purple/Green/White</v>
      </c>
      <c r="U5">
        <f t="shared" si="3"/>
        <v>8</v>
      </c>
      <c r="V5" s="2">
        <f t="shared" si="4"/>
        <v>4479.9360000000006</v>
      </c>
      <c r="W5" s="2"/>
      <c r="X5" s="22"/>
      <c r="Y5" s="23"/>
      <c r="Z5" s="23"/>
      <c r="AA5" s="24"/>
    </row>
    <row r="6" spans="1:28" x14ac:dyDescent="0.25">
      <c r="A6" s="3">
        <v>10457331</v>
      </c>
      <c r="B6" s="4" t="s">
        <v>12</v>
      </c>
      <c r="C6" s="3">
        <v>5</v>
      </c>
      <c r="D6" s="8">
        <v>524.99250000000006</v>
      </c>
      <c r="E6" s="8">
        <f t="shared" si="0"/>
        <v>2624.9625000000005</v>
      </c>
      <c r="F6" s="3" t="s">
        <v>67</v>
      </c>
      <c r="G6" s="5" t="s">
        <v>63</v>
      </c>
      <c r="H6" s="3">
        <v>10427184</v>
      </c>
      <c r="I6" s="3">
        <v>8801010511</v>
      </c>
      <c r="J6" s="3">
        <v>16</v>
      </c>
      <c r="K6" s="8">
        <v>167.994</v>
      </c>
      <c r="L6" s="8">
        <f t="shared" si="1"/>
        <v>2687.904</v>
      </c>
      <c r="M6" s="3" t="s">
        <v>76</v>
      </c>
      <c r="N6" s="13" t="s">
        <v>63</v>
      </c>
      <c r="O6">
        <f t="shared" si="2"/>
        <v>10427184</v>
      </c>
      <c r="P6" cm="1">
        <f t="array" ref="P6">_xlfn._xlws.FILTER(J6 - C:C, A:A = H6, "No match")</f>
        <v>-1</v>
      </c>
      <c r="Q6" s="12" cm="1">
        <f t="array" ref="Q6">_xlfn._xlws.FILTER(ABS((J6 - $C$1:$C$100) * K6), $A$1:$A$100 = H6, "No match")</f>
        <v>167.994</v>
      </c>
      <c r="R6" s="12" cm="1">
        <f t="array" ref="R6">_xlfn._xlws.FILTER(($E$1:$E$100-Q6), $A$1:$A$100 = H6, "No match")</f>
        <v>2687.904</v>
      </c>
      <c r="S6">
        <v>10353751</v>
      </c>
      <c r="T6" t="str">
        <v>HCT BFH 1N Joker Helmet MD / Purple/Green/White</v>
      </c>
      <c r="U6">
        <f t="shared" si="3"/>
        <v>1</v>
      </c>
      <c r="V6" s="2">
        <f t="shared" si="4"/>
        <v>559.99200000000008</v>
      </c>
      <c r="W6" s="2"/>
      <c r="X6" s="17" t="s">
        <v>58</v>
      </c>
      <c r="Y6" s="17"/>
      <c r="Z6" s="17"/>
      <c r="AA6" s="17"/>
    </row>
    <row r="7" spans="1:28" ht="15.75" thickBot="1" x14ac:dyDescent="0.3">
      <c r="A7" s="3">
        <v>10457332</v>
      </c>
      <c r="B7" s="4" t="s">
        <v>13</v>
      </c>
      <c r="C7" s="3">
        <v>22</v>
      </c>
      <c r="D7" s="8">
        <v>524.99250000000006</v>
      </c>
      <c r="E7" s="8">
        <f t="shared" si="0"/>
        <v>11549.835000000001</v>
      </c>
      <c r="F7" s="3" t="s">
        <v>68</v>
      </c>
      <c r="G7" s="5" t="s">
        <v>63</v>
      </c>
      <c r="H7" s="3">
        <v>10427567</v>
      </c>
      <c r="I7" s="3">
        <v>8980210904</v>
      </c>
      <c r="J7" s="3">
        <v>29</v>
      </c>
      <c r="K7" s="8">
        <v>149.49350000000001</v>
      </c>
      <c r="L7" s="8">
        <f t="shared" si="1"/>
        <v>4335.3115000000007</v>
      </c>
      <c r="M7" s="3" t="s">
        <v>108</v>
      </c>
      <c r="N7" s="13" t="s">
        <v>63</v>
      </c>
      <c r="O7">
        <f t="shared" si="2"/>
        <v>10427567</v>
      </c>
      <c r="P7" cm="1">
        <f t="array" ref="P7">_xlfn._xlws.FILTER(J7 - C:C, A:A = H7, "No match")</f>
        <v>0</v>
      </c>
      <c r="Q7" s="12" cm="1">
        <f t="array" ref="Q7">_xlfn._xlws.FILTER(ABS((J7 - $C$1:$C$100) * K7), $A$1:$A$100 = H7, "No match")</f>
        <v>0</v>
      </c>
      <c r="R7" s="12" cm="1">
        <f t="array" ref="R7">_xlfn._xlws.FILTER(($E$1:$E$100-Q7), $A$1:$A$100 = H7, "No match")</f>
        <v>4335.3115000000007</v>
      </c>
      <c r="S7">
        <v>10353752</v>
      </c>
      <c r="T7" t="str">
        <v>HCT BFH 1N Joker Helmet SM / Purple/Green/White</v>
      </c>
      <c r="U7">
        <f t="shared" si="3"/>
        <v>2</v>
      </c>
      <c r="V7" s="2">
        <f t="shared" si="4"/>
        <v>1119.9840000000002</v>
      </c>
      <c r="W7" s="2"/>
      <c r="X7" s="17"/>
      <c r="Y7" s="17"/>
      <c r="Z7" s="17"/>
      <c r="AA7" s="17"/>
    </row>
    <row r="8" spans="1:28" x14ac:dyDescent="0.25">
      <c r="A8" s="3">
        <v>10457333</v>
      </c>
      <c r="B8" s="4" t="s">
        <v>14</v>
      </c>
      <c r="C8" s="3">
        <v>21</v>
      </c>
      <c r="D8" s="8">
        <v>528.74250000000006</v>
      </c>
      <c r="E8" s="8">
        <f t="shared" si="0"/>
        <v>11103.592500000001</v>
      </c>
      <c r="F8" s="3" t="s">
        <v>69</v>
      </c>
      <c r="G8" s="5" t="s">
        <v>63</v>
      </c>
      <c r="H8" s="3">
        <v>10377105</v>
      </c>
      <c r="I8" s="3" t="s">
        <v>17</v>
      </c>
      <c r="J8" s="3">
        <v>14</v>
      </c>
      <c r="K8" s="8">
        <v>839.99200000000008</v>
      </c>
      <c r="L8" s="8">
        <f t="shared" si="1"/>
        <v>11759.888000000001</v>
      </c>
      <c r="M8" s="3" t="s">
        <v>125</v>
      </c>
      <c r="N8" s="13" t="s">
        <v>63</v>
      </c>
      <c r="O8">
        <f t="shared" si="2"/>
        <v>10377105</v>
      </c>
      <c r="P8" cm="1">
        <f t="array" ref="P8">_xlfn._xlws.FILTER(J8 - C:C, A:A = H8, "No match")</f>
        <v>-1</v>
      </c>
      <c r="Q8" s="12" cm="1">
        <f t="array" ref="Q8">_xlfn._xlws.FILTER(ABS((J8 - $C$1:$C$100) * K8), $A$1:$A$100 = H8, "No match")</f>
        <v>839.99200000000008</v>
      </c>
      <c r="R8" s="12" cm="1">
        <f t="array" ref="R8">_xlfn._xlws.FILTER(($E$1:$E$100-Q8), $A$1:$A$100 = H8, "No match")</f>
        <v>11759.888000000001</v>
      </c>
      <c r="S8">
        <v>0</v>
      </c>
      <c r="T8">
        <v>0</v>
      </c>
      <c r="U8" t="e">
        <f t="shared" si="3"/>
        <v>#N/A</v>
      </c>
      <c r="X8" s="42">
        <f>SUM(L1:L100)</f>
        <v>356870.82850000024</v>
      </c>
      <c r="Y8" s="43"/>
      <c r="Z8" s="43"/>
      <c r="AA8" s="44"/>
    </row>
    <row r="9" spans="1:28" ht="15.75" thickBot="1" x14ac:dyDescent="0.3">
      <c r="A9" s="3">
        <v>10427568</v>
      </c>
      <c r="B9" s="4">
        <v>8980210509</v>
      </c>
      <c r="C9" s="3">
        <v>14</v>
      </c>
      <c r="D9" s="8">
        <v>149.49350000000001</v>
      </c>
      <c r="E9" s="8">
        <f t="shared" si="0"/>
        <v>2092.9090000000001</v>
      </c>
      <c r="F9" s="3" t="s">
        <v>109</v>
      </c>
      <c r="G9" s="5" t="s">
        <v>63</v>
      </c>
      <c r="H9" s="3">
        <v>10427161</v>
      </c>
      <c r="I9" s="3">
        <v>8801017708</v>
      </c>
      <c r="J9" s="3">
        <v>11</v>
      </c>
      <c r="K9" s="8">
        <v>167.994</v>
      </c>
      <c r="L9" s="8">
        <f t="shared" si="1"/>
        <v>1847.934</v>
      </c>
      <c r="M9" s="3" t="s">
        <v>77</v>
      </c>
      <c r="N9" s="13" t="s">
        <v>63</v>
      </c>
      <c r="O9">
        <f t="shared" si="2"/>
        <v>10427161</v>
      </c>
      <c r="P9" cm="1">
        <f t="array" ref="P9">_xlfn._xlws.FILTER(J9 - C:C, A:A = H9, "No match")</f>
        <v>-4</v>
      </c>
      <c r="Q9" s="12" cm="1">
        <f t="array" ref="Q9">_xlfn._xlws.FILTER(ABS((J9 - $C$1:$C$100) * K9), $A$1:$A$100 = H9, "No match")</f>
        <v>671.976</v>
      </c>
      <c r="R9" s="12" cm="1">
        <f t="array" ref="R9">_xlfn._xlws.FILTER(($E$1:$E$100-Q9), $A$1:$A$100 = H9, "No match")</f>
        <v>1847.9339999999997</v>
      </c>
      <c r="S9">
        <v>0</v>
      </c>
      <c r="T9">
        <v>0</v>
      </c>
      <c r="U9" t="e">
        <f t="shared" si="3"/>
        <v>#N/A</v>
      </c>
      <c r="X9" s="45"/>
      <c r="Y9" s="46"/>
      <c r="Z9" s="46"/>
      <c r="AA9" s="47"/>
    </row>
    <row r="10" spans="1:28" x14ac:dyDescent="0.25">
      <c r="A10" s="3">
        <v>10427569</v>
      </c>
      <c r="B10" s="4">
        <v>8980210508</v>
      </c>
      <c r="C10" s="3">
        <v>9</v>
      </c>
      <c r="D10" s="8">
        <v>149.49350000000001</v>
      </c>
      <c r="E10" s="8">
        <f t="shared" si="0"/>
        <v>1345.4415000000001</v>
      </c>
      <c r="F10" s="3" t="s">
        <v>110</v>
      </c>
      <c r="G10" s="5" t="s">
        <v>63</v>
      </c>
      <c r="H10" s="11">
        <v>10377106</v>
      </c>
      <c r="I10" s="3" t="s">
        <v>18</v>
      </c>
      <c r="J10" s="3">
        <v>4</v>
      </c>
      <c r="K10" s="8">
        <v>839.99200000000008</v>
      </c>
      <c r="L10" s="8">
        <f t="shared" si="1"/>
        <v>3359.9680000000003</v>
      </c>
      <c r="M10" s="3" t="s">
        <v>126</v>
      </c>
      <c r="N10" s="13" t="s">
        <v>63</v>
      </c>
      <c r="O10">
        <f t="shared" si="2"/>
        <v>10377106</v>
      </c>
      <c r="P10" cm="1">
        <f t="array" ref="P10">_xlfn._xlws.FILTER(J10 - C:C, A:A = H10, "No match")</f>
        <v>-4</v>
      </c>
      <c r="Q10" s="12" cm="1">
        <f t="array" ref="Q10">_xlfn._xlws.FILTER(ABS((J10 - $C$1:$C$100) * K10), $A$1:$A$100 = H10, "No match")</f>
        <v>3359.9680000000003</v>
      </c>
      <c r="R10" s="12" cm="1">
        <f t="array" ref="R10">_xlfn._xlws.FILTER(($E$1:$E$100-Q10), $A$1:$A$100 = H10, "No match")</f>
        <v>3359.9680000000003</v>
      </c>
      <c r="S10">
        <v>0</v>
      </c>
      <c r="T10">
        <v>0</v>
      </c>
      <c r="U10" t="e">
        <f t="shared" si="3"/>
        <v>#N/A</v>
      </c>
      <c r="X10" s="16"/>
      <c r="Y10" s="16"/>
      <c r="Z10" s="16"/>
      <c r="AA10" s="16"/>
    </row>
    <row r="11" spans="1:28" x14ac:dyDescent="0.25">
      <c r="A11" s="3">
        <v>10427570</v>
      </c>
      <c r="B11" s="4">
        <v>8980210507</v>
      </c>
      <c r="C11" s="3">
        <v>9</v>
      </c>
      <c r="D11" s="8">
        <v>149.49350000000001</v>
      </c>
      <c r="E11" s="8">
        <f t="shared" si="0"/>
        <v>1345.4415000000001</v>
      </c>
      <c r="F11" s="3" t="s">
        <v>107</v>
      </c>
      <c r="G11" s="5" t="s">
        <v>63</v>
      </c>
      <c r="H11" s="3">
        <v>10377116</v>
      </c>
      <c r="I11" s="3" t="s">
        <v>40</v>
      </c>
      <c r="J11" s="3">
        <v>20</v>
      </c>
      <c r="K11" s="8">
        <v>839.99200000000008</v>
      </c>
      <c r="L11" s="8">
        <f t="shared" si="1"/>
        <v>16799.84</v>
      </c>
      <c r="M11" s="3" t="s">
        <v>127</v>
      </c>
      <c r="N11" s="13" t="s">
        <v>63</v>
      </c>
      <c r="O11">
        <f t="shared" si="2"/>
        <v>10377116</v>
      </c>
      <c r="P11" cm="1">
        <f t="array" ref="P11">_xlfn._xlws.FILTER(J11 - C:C, A:A = H11, "No match")</f>
        <v>-3</v>
      </c>
      <c r="Q11" s="12" cm="1">
        <f t="array" ref="Q11">_xlfn._xlws.FILTER(ABS((J11 - $C$1:$C$100) * K11), $A$1:$A$100 = H11, "No match")</f>
        <v>2519.9760000000001</v>
      </c>
      <c r="R11" s="12" cm="1">
        <f t="array" ref="R11">_xlfn._xlws.FILTER(($E$1:$E$100-Q11), $A$1:$A$100 = H11, "No match")</f>
        <v>16799.840000000004</v>
      </c>
      <c r="S11">
        <v>0</v>
      </c>
      <c r="T11">
        <v>0</v>
      </c>
      <c r="U11" t="e">
        <f t="shared" si="3"/>
        <v>#N/A</v>
      </c>
      <c r="X11" s="48" t="s">
        <v>60</v>
      </c>
      <c r="Y11" s="48"/>
      <c r="Z11" s="48"/>
      <c r="AA11" s="48"/>
    </row>
    <row r="12" spans="1:28" ht="15.75" thickBot="1" x14ac:dyDescent="0.3">
      <c r="A12" s="3">
        <v>10427571</v>
      </c>
      <c r="B12" s="4">
        <v>8980210506</v>
      </c>
      <c r="C12" s="3">
        <v>25</v>
      </c>
      <c r="D12" s="8">
        <v>149.49350000000001</v>
      </c>
      <c r="E12" s="8">
        <f t="shared" si="0"/>
        <v>3737.3375000000001</v>
      </c>
      <c r="F12" s="3" t="s">
        <v>111</v>
      </c>
      <c r="G12" s="5" t="s">
        <v>63</v>
      </c>
      <c r="H12" s="3">
        <v>10427185</v>
      </c>
      <c r="I12" s="3">
        <v>8801010510</v>
      </c>
      <c r="J12" s="3">
        <v>9</v>
      </c>
      <c r="K12" s="8">
        <v>167.994</v>
      </c>
      <c r="L12" s="8">
        <f t="shared" si="1"/>
        <v>1511.9459999999999</v>
      </c>
      <c r="M12" s="3" t="s">
        <v>78</v>
      </c>
      <c r="N12" s="13" t="s">
        <v>63</v>
      </c>
      <c r="O12">
        <f t="shared" si="2"/>
        <v>10427185</v>
      </c>
      <c r="P12" cm="1">
        <f t="array" ref="P12">_xlfn._xlws.FILTER(J12 - C:C, A:A = H12, "No match")</f>
        <v>-1</v>
      </c>
      <c r="Q12" s="12" cm="1">
        <f t="array" ref="Q12">_xlfn._xlws.FILTER(ABS((J12 - $C$1:$C$100) * K12), $A$1:$A$100 = H12, "No match")</f>
        <v>167.994</v>
      </c>
      <c r="R12" s="12" cm="1">
        <f t="array" ref="R12">_xlfn._xlws.FILTER(($E$1:$E$100-Q12), $A$1:$A$100 = H12, "No match")</f>
        <v>1511.9460000000001</v>
      </c>
      <c r="S12">
        <v>0</v>
      </c>
      <c r="T12">
        <v>0</v>
      </c>
      <c r="U12" t="e">
        <f t="shared" si="3"/>
        <v>#N/A</v>
      </c>
      <c r="X12" s="48"/>
      <c r="Y12" s="48"/>
      <c r="Z12" s="48"/>
      <c r="AA12" s="48"/>
    </row>
    <row r="13" spans="1:28" x14ac:dyDescent="0.25">
      <c r="A13" s="3">
        <v>10427572</v>
      </c>
      <c r="B13" s="4">
        <v>8980210505</v>
      </c>
      <c r="C13" s="3">
        <v>12</v>
      </c>
      <c r="D13" s="8">
        <v>149.49350000000001</v>
      </c>
      <c r="E13" s="8">
        <f t="shared" si="0"/>
        <v>1793.922</v>
      </c>
      <c r="F13" s="3" t="s">
        <v>112</v>
      </c>
      <c r="G13" s="5" t="s">
        <v>63</v>
      </c>
      <c r="H13" s="3">
        <v>10427568</v>
      </c>
      <c r="I13" s="3">
        <v>8980210509</v>
      </c>
      <c r="J13" s="3">
        <v>10</v>
      </c>
      <c r="K13" s="8">
        <v>149.49350000000001</v>
      </c>
      <c r="L13" s="8">
        <f t="shared" si="1"/>
        <v>1494.9350000000002</v>
      </c>
      <c r="M13" s="3" t="s">
        <v>109</v>
      </c>
      <c r="N13" s="13" t="s">
        <v>63</v>
      </c>
      <c r="O13">
        <f t="shared" si="2"/>
        <v>10427568</v>
      </c>
      <c r="P13" cm="1">
        <f t="array" ref="P13">_xlfn._xlws.FILTER(J13 - C:C, A:A = H13, "No match")</f>
        <v>-4</v>
      </c>
      <c r="Q13" s="12" cm="1">
        <f t="array" ref="Q13">_xlfn._xlws.FILTER(ABS((J13 - $C$1:$C$100) * K13), $A$1:$A$100 = H13, "No match")</f>
        <v>597.97400000000005</v>
      </c>
      <c r="R13" s="12" cm="1">
        <f t="array" ref="R13">_xlfn._xlws.FILTER(($E$1:$E$100-Q13), $A$1:$A$100 = H13, "No match")</f>
        <v>1494.9349999999999</v>
      </c>
      <c r="S13">
        <v>0</v>
      </c>
      <c r="T13">
        <v>0</v>
      </c>
      <c r="U13" t="e">
        <f t="shared" si="3"/>
        <v>#N/A</v>
      </c>
      <c r="X13" s="49">
        <f>SUM(C1:C100) / SUM(J1:J100) - 1</f>
        <v>0.74382314694408325</v>
      </c>
      <c r="Y13" s="50"/>
      <c r="Z13" s="50"/>
      <c r="AA13" s="51"/>
    </row>
    <row r="14" spans="1:28" ht="15.75" thickBot="1" x14ac:dyDescent="0.3">
      <c r="A14" s="3">
        <v>10427573</v>
      </c>
      <c r="B14" s="4">
        <v>8980210504</v>
      </c>
      <c r="C14" s="3">
        <v>28</v>
      </c>
      <c r="D14" s="8">
        <v>149.49350000000001</v>
      </c>
      <c r="E14" s="8">
        <f t="shared" si="0"/>
        <v>4185.8180000000002</v>
      </c>
      <c r="F14" s="3" t="s">
        <v>113</v>
      </c>
      <c r="G14" s="5" t="s">
        <v>63</v>
      </c>
      <c r="H14" s="3">
        <v>10427187</v>
      </c>
      <c r="I14" s="3">
        <v>8801010508</v>
      </c>
      <c r="J14" s="3">
        <v>7</v>
      </c>
      <c r="K14" s="8">
        <v>167.994</v>
      </c>
      <c r="L14" s="8">
        <f t="shared" si="1"/>
        <v>1175.9580000000001</v>
      </c>
      <c r="M14" s="3" t="s">
        <v>79</v>
      </c>
      <c r="N14" s="13" t="s">
        <v>63</v>
      </c>
      <c r="O14">
        <f t="shared" si="2"/>
        <v>10427187</v>
      </c>
      <c r="P14" cm="1">
        <f t="array" ref="P14">_xlfn._xlws.FILTER(J14 - C:C, A:A = H14, "No match")</f>
        <v>-3</v>
      </c>
      <c r="Q14" s="12" cm="1">
        <f t="array" ref="Q14">_xlfn._xlws.FILTER(ABS((J14 - $C$1:$C$100) * K14), $A$1:$A$100 = H14, "No match")</f>
        <v>503.98199999999997</v>
      </c>
      <c r="R14" s="12" cm="1">
        <f t="array" ref="R14">_xlfn._xlws.FILTER(($E$1:$E$100-Q14), $A$1:$A$100 = H14, "No match")</f>
        <v>1175.9580000000001</v>
      </c>
      <c r="S14">
        <v>0</v>
      </c>
      <c r="T14">
        <v>0</v>
      </c>
      <c r="U14" t="e">
        <f t="shared" si="3"/>
        <v>#N/A</v>
      </c>
      <c r="X14" s="52"/>
      <c r="Y14" s="53"/>
      <c r="Z14" s="53"/>
      <c r="AA14" s="54"/>
    </row>
    <row r="15" spans="1:28" x14ac:dyDescent="0.25">
      <c r="A15" s="3">
        <v>10427562</v>
      </c>
      <c r="B15" s="4">
        <v>8980210909</v>
      </c>
      <c r="C15" s="3">
        <v>15</v>
      </c>
      <c r="D15" s="8">
        <v>149.49350000000001</v>
      </c>
      <c r="E15" s="8">
        <f t="shared" si="0"/>
        <v>2242.4025000000001</v>
      </c>
      <c r="F15" s="3" t="s">
        <v>114</v>
      </c>
      <c r="G15" s="5" t="s">
        <v>63</v>
      </c>
      <c r="H15" s="3">
        <v>10457332</v>
      </c>
      <c r="I15" s="3" t="s">
        <v>13</v>
      </c>
      <c r="J15" s="3">
        <v>20</v>
      </c>
      <c r="K15" s="8">
        <v>524.99250000000006</v>
      </c>
      <c r="L15" s="8">
        <f t="shared" si="1"/>
        <v>10499.850000000002</v>
      </c>
      <c r="M15" s="3" t="s">
        <v>68</v>
      </c>
      <c r="N15" s="13" t="s">
        <v>63</v>
      </c>
      <c r="O15">
        <f t="shared" si="2"/>
        <v>10457332</v>
      </c>
      <c r="P15" cm="1">
        <f t="array" ref="P15">_xlfn._xlws.FILTER(J15 - C:C, A:A = H15, "No match")</f>
        <v>-2</v>
      </c>
      <c r="Q15" s="12" cm="1">
        <f t="array" ref="Q15">_xlfn._xlws.FILTER(ABS((J15 - $C$1:$C$100) * K15), $A$1:$A$100 = H15, "No match")</f>
        <v>1049.9850000000001</v>
      </c>
      <c r="R15" s="12" cm="1">
        <f t="array" ref="R15">_xlfn._xlws.FILTER(($E$1:$E$100-Q15), $A$1:$A$100 = H15, "No match")</f>
        <v>10499.85</v>
      </c>
      <c r="S15">
        <v>0</v>
      </c>
      <c r="T15">
        <v>0</v>
      </c>
      <c r="U15" t="e">
        <f t="shared" si="3"/>
        <v>#N/A</v>
      </c>
      <c r="X15" s="48" t="s">
        <v>59</v>
      </c>
      <c r="Y15" s="48"/>
      <c r="Z15" s="48"/>
      <c r="AA15" s="48"/>
    </row>
    <row r="16" spans="1:28" ht="15.75" thickBot="1" x14ac:dyDescent="0.3">
      <c r="A16" s="3">
        <v>10427563</v>
      </c>
      <c r="B16" s="4">
        <v>8980210908</v>
      </c>
      <c r="C16" s="3">
        <v>25</v>
      </c>
      <c r="D16" s="8">
        <v>149.49350000000001</v>
      </c>
      <c r="E16" s="8">
        <f t="shared" si="0"/>
        <v>3737.3375000000001</v>
      </c>
      <c r="F16" s="3" t="s">
        <v>115</v>
      </c>
      <c r="G16" s="5" t="s">
        <v>63</v>
      </c>
      <c r="H16" s="3">
        <v>10377114</v>
      </c>
      <c r="I16" s="3" t="s">
        <v>38</v>
      </c>
      <c r="J16" s="3">
        <v>18</v>
      </c>
      <c r="K16" s="8">
        <v>839.99200000000008</v>
      </c>
      <c r="L16" s="8">
        <f t="shared" si="1"/>
        <v>15119.856000000002</v>
      </c>
      <c r="M16" s="3" t="s">
        <v>128</v>
      </c>
      <c r="N16" s="13" t="s">
        <v>63</v>
      </c>
      <c r="O16">
        <f t="shared" si="2"/>
        <v>10377114</v>
      </c>
      <c r="P16" cm="1">
        <f t="array" ref="P16">_xlfn._xlws.FILTER(J16 - C:C, A:A = H16, "No match")</f>
        <v>-3</v>
      </c>
      <c r="Q16" s="12" cm="1">
        <f t="array" ref="Q16">_xlfn._xlws.FILTER(ABS((J16 - $C$1:$C$100) * K16), $A$1:$A$100 = H16, "No match")</f>
        <v>2519.9760000000001</v>
      </c>
      <c r="R16" s="12" cm="1">
        <f t="array" ref="R16">_xlfn._xlws.FILTER(($E$1:$E$100-Q16), $A$1:$A$100 = H16, "No match")</f>
        <v>15119.856000000002</v>
      </c>
      <c r="S16">
        <v>0</v>
      </c>
      <c r="T16">
        <v>0</v>
      </c>
      <c r="U16" t="e">
        <f t="shared" si="3"/>
        <v>#N/A</v>
      </c>
      <c r="X16" s="48"/>
      <c r="Y16" s="48"/>
      <c r="Z16" s="48"/>
      <c r="AA16" s="48"/>
    </row>
    <row r="17" spans="1:27" x14ac:dyDescent="0.25">
      <c r="A17" s="3">
        <v>10427564</v>
      </c>
      <c r="B17" s="4">
        <v>8980210907</v>
      </c>
      <c r="C17" s="3">
        <v>6</v>
      </c>
      <c r="D17" s="8">
        <v>149.49350000000001</v>
      </c>
      <c r="E17" s="8">
        <f t="shared" si="0"/>
        <v>896.96100000000001</v>
      </c>
      <c r="F17" s="3" t="s">
        <v>116</v>
      </c>
      <c r="G17" s="5" t="s">
        <v>63</v>
      </c>
      <c r="H17" s="3">
        <v>10427167</v>
      </c>
      <c r="I17" s="3">
        <v>8801017508</v>
      </c>
      <c r="J17" s="3">
        <v>17</v>
      </c>
      <c r="K17" s="8">
        <v>167.994</v>
      </c>
      <c r="L17" s="8">
        <f t="shared" si="1"/>
        <v>2855.8980000000001</v>
      </c>
      <c r="M17" s="3" t="s">
        <v>80</v>
      </c>
      <c r="N17" s="13" t="s">
        <v>63</v>
      </c>
      <c r="O17">
        <f t="shared" si="2"/>
        <v>10427167</v>
      </c>
      <c r="P17" cm="1">
        <f t="array" ref="P17">_xlfn._xlws.FILTER(J17 - C:C, A:A = H17, "No match")</f>
        <v>-2</v>
      </c>
      <c r="Q17" s="12" cm="1">
        <f t="array" ref="Q17">_xlfn._xlws.FILTER(ABS((J17 - $C$1:$C$100) * K17), $A$1:$A$100 = H17, "No match")</f>
        <v>335.988</v>
      </c>
      <c r="R17" s="12" cm="1">
        <f t="array" ref="R17">_xlfn._xlws.FILTER(($E$1:$E$100-Q17), $A$1:$A$100 = H17, "No match")</f>
        <v>2855.8980000000001</v>
      </c>
      <c r="S17">
        <v>0</v>
      </c>
      <c r="T17">
        <v>0</v>
      </c>
      <c r="U17" t="e">
        <f t="shared" si="3"/>
        <v>#N/A</v>
      </c>
      <c r="X17" s="55">
        <f>SUM(E1:E100) - SUM(L1:L100)</f>
        <v>183610.2329999996</v>
      </c>
      <c r="Y17" s="56"/>
      <c r="Z17" s="56"/>
      <c r="AA17" s="57"/>
    </row>
    <row r="18" spans="1:27" ht="15.75" thickBot="1" x14ac:dyDescent="0.3">
      <c r="A18" s="3">
        <v>10427565</v>
      </c>
      <c r="B18" s="4">
        <v>8980210906</v>
      </c>
      <c r="C18" s="3">
        <v>6</v>
      </c>
      <c r="D18" s="8">
        <v>149.49350000000001</v>
      </c>
      <c r="E18" s="8">
        <f t="shared" si="0"/>
        <v>896.96100000000001</v>
      </c>
      <c r="F18" s="3" t="s">
        <v>117</v>
      </c>
      <c r="G18" s="5" t="s">
        <v>63</v>
      </c>
      <c r="H18" s="3">
        <v>10427164</v>
      </c>
      <c r="I18" s="3">
        <v>8801017705</v>
      </c>
      <c r="J18" s="3">
        <v>11</v>
      </c>
      <c r="K18" s="8">
        <v>167.994</v>
      </c>
      <c r="L18" s="8">
        <f t="shared" si="1"/>
        <v>1847.934</v>
      </c>
      <c r="M18" s="3" t="s">
        <v>81</v>
      </c>
      <c r="N18" s="13" t="s">
        <v>63</v>
      </c>
      <c r="O18">
        <f t="shared" si="2"/>
        <v>10427164</v>
      </c>
      <c r="P18" cm="1">
        <f t="array" ref="P18">_xlfn._xlws.FILTER(J18 - C:C, A:A = H18, "No match")</f>
        <v>-3</v>
      </c>
      <c r="Q18" s="12" cm="1">
        <f t="array" ref="Q18">_xlfn._xlws.FILTER(ABS((J18 - $C$1:$C$100) * K18), $A$1:$A$100 = H18, "No match")</f>
        <v>503.98199999999997</v>
      </c>
      <c r="R18" s="12" cm="1">
        <f t="array" ref="R18">_xlfn._xlws.FILTER(($E$1:$E$100-Q18), $A$1:$A$100 = H18, "No match")</f>
        <v>1847.9340000000002</v>
      </c>
      <c r="S18">
        <v>0</v>
      </c>
      <c r="T18">
        <v>0</v>
      </c>
      <c r="U18" t="e">
        <f t="shared" si="3"/>
        <v>#N/A</v>
      </c>
      <c r="X18" s="58"/>
      <c r="Y18" s="59"/>
      <c r="Z18" s="59"/>
      <c r="AA18" s="60"/>
    </row>
    <row r="19" spans="1:27" x14ac:dyDescent="0.25">
      <c r="A19" s="3">
        <v>10427566</v>
      </c>
      <c r="B19" s="4">
        <v>8980210905</v>
      </c>
      <c r="C19" s="3">
        <v>7</v>
      </c>
      <c r="D19" s="8">
        <v>149.49350000000001</v>
      </c>
      <c r="E19" s="8">
        <f t="shared" si="0"/>
        <v>1046.4545000000001</v>
      </c>
      <c r="F19" s="3" t="s">
        <v>118</v>
      </c>
      <c r="G19" s="5" t="s">
        <v>63</v>
      </c>
      <c r="H19" s="3">
        <v>10427565</v>
      </c>
      <c r="I19" s="3">
        <v>8980210906</v>
      </c>
      <c r="J19" s="3">
        <v>6</v>
      </c>
      <c r="K19" s="8">
        <v>149.49350000000001</v>
      </c>
      <c r="L19" s="8">
        <f t="shared" si="1"/>
        <v>896.96100000000001</v>
      </c>
      <c r="M19" s="3" t="s">
        <v>117</v>
      </c>
      <c r="N19" s="13" t="s">
        <v>63</v>
      </c>
      <c r="O19">
        <f t="shared" si="2"/>
        <v>10427565</v>
      </c>
      <c r="P19" cm="1">
        <f t="array" ref="P19">_xlfn._xlws.FILTER(J19 - C:C, A:A = H19, "No match")</f>
        <v>0</v>
      </c>
      <c r="Q19" s="12" cm="1">
        <f t="array" ref="Q19">_xlfn._xlws.FILTER(ABS((J19 - $C$1:$C$100) * K19), $A$1:$A$100 = H19, "No match")</f>
        <v>0</v>
      </c>
      <c r="R19" s="12" cm="1">
        <f t="array" ref="R19">_xlfn._xlws.FILTER(($E$1:$E$100-Q19), $A$1:$A$100 = H19, "No match")</f>
        <v>896.96100000000001</v>
      </c>
      <c r="S19">
        <v>0</v>
      </c>
      <c r="T19">
        <v>0</v>
      </c>
      <c r="U19" t="e">
        <f t="shared" si="3"/>
        <v>#N/A</v>
      </c>
      <c r="X19" s="16"/>
      <c r="Y19" s="16"/>
      <c r="Z19" s="16"/>
      <c r="AA19" s="16"/>
    </row>
    <row r="20" spans="1:27" x14ac:dyDescent="0.25">
      <c r="A20" s="3">
        <v>10427567</v>
      </c>
      <c r="B20" s="4">
        <v>8980210904</v>
      </c>
      <c r="C20" s="3">
        <v>29</v>
      </c>
      <c r="D20" s="8">
        <v>149.49350000000001</v>
      </c>
      <c r="E20" s="8">
        <f t="shared" si="0"/>
        <v>4335.3115000000007</v>
      </c>
      <c r="F20" s="3" t="s">
        <v>108</v>
      </c>
      <c r="G20" s="5" t="s">
        <v>63</v>
      </c>
      <c r="H20" s="3">
        <v>10427160</v>
      </c>
      <c r="I20" s="3">
        <v>8801017709</v>
      </c>
      <c r="J20" s="3">
        <v>13</v>
      </c>
      <c r="K20" s="8">
        <v>167.994</v>
      </c>
      <c r="L20" s="8">
        <f t="shared" si="1"/>
        <v>2183.922</v>
      </c>
      <c r="M20" s="3" t="s">
        <v>82</v>
      </c>
      <c r="N20" s="13" t="s">
        <v>63</v>
      </c>
      <c r="O20">
        <f t="shared" si="2"/>
        <v>10427160</v>
      </c>
      <c r="P20" cm="1">
        <f t="array" ref="P20">_xlfn._xlws.FILTER(J20 - C:C, A:A = H20, "No match")</f>
        <v>-5</v>
      </c>
      <c r="Q20" s="12" cm="1">
        <f t="array" ref="Q20">_xlfn._xlws.FILTER(ABS((J20 - $C$1:$C$100) * K20), $A$1:$A$100 = H20, "No match")</f>
        <v>839.97</v>
      </c>
      <c r="R20" s="12" cm="1">
        <f t="array" ref="R20">_xlfn._xlws.FILTER(($E$1:$E$100-Q20), $A$1:$A$100 = H20, "No match")</f>
        <v>2183.9219999999996</v>
      </c>
      <c r="S20">
        <v>0</v>
      </c>
      <c r="T20">
        <v>0</v>
      </c>
      <c r="U20" t="e">
        <f t="shared" si="3"/>
        <v>#N/A</v>
      </c>
      <c r="X20" s="29" t="s">
        <v>61</v>
      </c>
      <c r="Y20" s="29"/>
      <c r="Z20" s="29"/>
      <c r="AA20" s="29"/>
    </row>
    <row r="21" spans="1:27" ht="15.75" thickBot="1" x14ac:dyDescent="0.3">
      <c r="A21" s="3">
        <v>10427574</v>
      </c>
      <c r="B21" s="4">
        <v>8980210108</v>
      </c>
      <c r="C21" s="3">
        <v>23</v>
      </c>
      <c r="D21" s="8">
        <v>149.49350000000001</v>
      </c>
      <c r="E21" s="8">
        <f t="shared" si="0"/>
        <v>3438.3505000000005</v>
      </c>
      <c r="F21" s="3" t="s">
        <v>119</v>
      </c>
      <c r="G21" s="5" t="s">
        <v>63</v>
      </c>
      <c r="H21" s="3">
        <v>10427191</v>
      </c>
      <c r="I21" s="3">
        <v>8801010504</v>
      </c>
      <c r="J21" s="3">
        <v>17</v>
      </c>
      <c r="K21" s="8">
        <v>167.994</v>
      </c>
      <c r="L21" s="8">
        <f t="shared" si="1"/>
        <v>2855.8980000000001</v>
      </c>
      <c r="M21" s="3" t="s">
        <v>83</v>
      </c>
      <c r="N21" s="13" t="s">
        <v>63</v>
      </c>
      <c r="O21">
        <f t="shared" si="2"/>
        <v>10427191</v>
      </c>
      <c r="P21" cm="1">
        <f t="array" ref="P21">_xlfn._xlws.FILTER(J21 - C:C, A:A = H21, "No match")</f>
        <v>-2</v>
      </c>
      <c r="Q21" s="12" cm="1">
        <f t="array" ref="Q21">_xlfn._xlws.FILTER(ABS((J21 - $C$1:$C$100) * K21), $A$1:$A$100 = H21, "No match")</f>
        <v>335.988</v>
      </c>
      <c r="R21" s="12" cm="1">
        <f t="array" ref="R21">_xlfn._xlws.FILTER(($E$1:$E$100-Q21), $A$1:$A$100 = H21, "No match")</f>
        <v>2855.8980000000001</v>
      </c>
      <c r="S21">
        <v>0</v>
      </c>
      <c r="T21">
        <v>0</v>
      </c>
      <c r="U21" t="e">
        <f t="shared" si="3"/>
        <v>#N/A</v>
      </c>
      <c r="X21" s="29"/>
      <c r="Y21" s="29"/>
      <c r="Z21" s="29"/>
      <c r="AA21" s="29"/>
    </row>
    <row r="22" spans="1:27" x14ac:dyDescent="0.25">
      <c r="A22" s="3">
        <v>10427575</v>
      </c>
      <c r="B22" s="4">
        <v>8980210107</v>
      </c>
      <c r="C22" s="3">
        <v>22</v>
      </c>
      <c r="D22" s="8">
        <v>149.49350000000001</v>
      </c>
      <c r="E22" s="8">
        <f t="shared" si="0"/>
        <v>3288.8570000000004</v>
      </c>
      <c r="F22" s="3" t="s">
        <v>120</v>
      </c>
      <c r="G22" s="5" t="s">
        <v>63</v>
      </c>
      <c r="H22" s="3">
        <v>10427566</v>
      </c>
      <c r="I22" s="3">
        <v>8980210905</v>
      </c>
      <c r="J22" s="3">
        <v>7</v>
      </c>
      <c r="K22" s="15">
        <v>149.49350000000001</v>
      </c>
      <c r="L22" s="8">
        <f t="shared" si="1"/>
        <v>1046.4545000000001</v>
      </c>
      <c r="M22" s="3" t="s">
        <v>118</v>
      </c>
      <c r="N22" s="13" t="s">
        <v>63</v>
      </c>
      <c r="O22">
        <f t="shared" si="2"/>
        <v>10427566</v>
      </c>
      <c r="P22" cm="1">
        <f t="array" ref="P22">_xlfn._xlws.FILTER(J22 - C:C, A:A = H22, "No match")</f>
        <v>0</v>
      </c>
      <c r="Q22" s="12" cm="1">
        <f t="array" ref="Q22">_xlfn._xlws.FILTER(ABS((J22 - $C$1:$C$100) * K22), $A$1:$A$100 = H22, "No match")</f>
        <v>0</v>
      </c>
      <c r="R22" s="12" cm="1">
        <f t="array" ref="R22">_xlfn._xlws.FILTER(($E$1:$E$100-Q22), $A$1:$A$100 = H22, "No match")</f>
        <v>1046.4545000000001</v>
      </c>
      <c r="S22">
        <v>0</v>
      </c>
      <c r="T22">
        <v>0</v>
      </c>
      <c r="U22" t="e">
        <f t="shared" si="3"/>
        <v>#N/A</v>
      </c>
      <c r="X22" s="30" cm="1">
        <f t="array" ref="X22">SUM(IF(ISNUMBER(U:U), U:U, 0))</f>
        <v>19</v>
      </c>
      <c r="Y22" s="31"/>
      <c r="Z22" s="31"/>
      <c r="AA22" s="32"/>
    </row>
    <row r="23" spans="1:27" ht="15.75" thickBot="1" x14ac:dyDescent="0.3">
      <c r="A23" s="3">
        <v>10427576</v>
      </c>
      <c r="B23" s="4">
        <v>8980210106</v>
      </c>
      <c r="C23" s="3">
        <v>24</v>
      </c>
      <c r="D23" s="8">
        <v>149.49350000000001</v>
      </c>
      <c r="E23" s="8">
        <f t="shared" si="0"/>
        <v>3587.8440000000001</v>
      </c>
      <c r="F23" s="3" t="s">
        <v>121</v>
      </c>
      <c r="G23" s="5" t="s">
        <v>63</v>
      </c>
      <c r="H23" s="3">
        <v>10427576</v>
      </c>
      <c r="I23" s="3">
        <v>8980210106</v>
      </c>
      <c r="J23" s="3">
        <v>23</v>
      </c>
      <c r="K23" s="8">
        <v>149.49350000000001</v>
      </c>
      <c r="L23" s="8">
        <f t="shared" si="1"/>
        <v>3438.3505000000005</v>
      </c>
      <c r="M23" s="3" t="s">
        <v>121</v>
      </c>
      <c r="N23" s="13" t="s">
        <v>63</v>
      </c>
      <c r="O23">
        <f t="shared" si="2"/>
        <v>10427576</v>
      </c>
      <c r="P23" cm="1">
        <f t="array" ref="P23">_xlfn._xlws.FILTER(J23 - C:C, A:A = H23, "No match")</f>
        <v>-1</v>
      </c>
      <c r="Q23" s="12" cm="1">
        <f t="array" ref="Q23">_xlfn._xlws.FILTER(ABS((J23 - $C$1:$C$100) * K23), $A$1:$A$100 = H23, "No match")</f>
        <v>149.49350000000001</v>
      </c>
      <c r="R23" s="12" cm="1">
        <f t="array" ref="R23">_xlfn._xlws.FILTER(($E$1:$E$100-Q23), $A$1:$A$100 = H23, "No match")</f>
        <v>3438.3505</v>
      </c>
      <c r="S23">
        <v>0</v>
      </c>
      <c r="T23">
        <v>0</v>
      </c>
      <c r="U23" t="e">
        <f t="shared" si="3"/>
        <v>#N/A</v>
      </c>
      <c r="X23" s="33"/>
      <c r="Y23" s="34"/>
      <c r="Z23" s="34"/>
      <c r="AA23" s="35"/>
    </row>
    <row r="24" spans="1:27" x14ac:dyDescent="0.25">
      <c r="A24" s="3">
        <v>10427577</v>
      </c>
      <c r="B24" s="4">
        <v>8980210105</v>
      </c>
      <c r="C24" s="3">
        <v>27</v>
      </c>
      <c r="D24" s="8">
        <v>149.49350000000001</v>
      </c>
      <c r="E24" s="8">
        <f t="shared" si="0"/>
        <v>4036.3245000000002</v>
      </c>
      <c r="F24" s="3" t="s">
        <v>122</v>
      </c>
      <c r="G24" s="5" t="s">
        <v>63</v>
      </c>
      <c r="H24" s="3">
        <v>10377094</v>
      </c>
      <c r="I24" s="3" t="s">
        <v>30</v>
      </c>
      <c r="J24" s="3">
        <v>14</v>
      </c>
      <c r="K24" s="8">
        <v>839.99200000000008</v>
      </c>
      <c r="L24" s="8">
        <f t="shared" si="1"/>
        <v>11759.888000000001</v>
      </c>
      <c r="M24" s="3" t="s">
        <v>129</v>
      </c>
      <c r="N24" s="13" t="s">
        <v>63</v>
      </c>
      <c r="O24">
        <f t="shared" si="2"/>
        <v>10377094</v>
      </c>
      <c r="P24" cm="1">
        <f t="array" ref="P24">_xlfn._xlws.FILTER(J24 - C:C, A:A = H24, "No match")</f>
        <v>-3</v>
      </c>
      <c r="Q24" s="12" cm="1">
        <f t="array" ref="Q24">_xlfn._xlws.FILTER(ABS((J24 - $C$1:$C$100) * K24), $A$1:$A$100 = H24, "No match")</f>
        <v>2519.9760000000001</v>
      </c>
      <c r="R24" s="12" cm="1">
        <f t="array" ref="R24">_xlfn._xlws.FILTER(($E$1:$E$100-Q24), $A$1:$A$100 = H24, "No match")</f>
        <v>11759.888000000001</v>
      </c>
      <c r="S24">
        <v>0</v>
      </c>
      <c r="T24">
        <v>0</v>
      </c>
      <c r="U24" t="e">
        <f t="shared" si="3"/>
        <v>#N/A</v>
      </c>
      <c r="X24" s="29" t="s">
        <v>62</v>
      </c>
      <c r="Y24" s="29"/>
      <c r="Z24" s="29"/>
      <c r="AA24" s="29"/>
    </row>
    <row r="25" spans="1:27" ht="15.75" thickBot="1" x14ac:dyDescent="0.3">
      <c r="A25" s="3">
        <v>10427578</v>
      </c>
      <c r="B25" s="4">
        <v>8980210104</v>
      </c>
      <c r="C25" s="3">
        <v>12</v>
      </c>
      <c r="D25" s="8">
        <v>149.49350000000001</v>
      </c>
      <c r="E25" s="8">
        <f t="shared" si="0"/>
        <v>1793.922</v>
      </c>
      <c r="F25" s="3" t="s">
        <v>123</v>
      </c>
      <c r="G25" s="5" t="s">
        <v>63</v>
      </c>
      <c r="H25" s="3">
        <v>10457328</v>
      </c>
      <c r="I25" s="3" t="s">
        <v>8</v>
      </c>
      <c r="J25" s="3">
        <v>11</v>
      </c>
      <c r="K25" s="8">
        <v>524.99250000000006</v>
      </c>
      <c r="L25" s="8">
        <f t="shared" si="1"/>
        <v>5774.9175000000005</v>
      </c>
      <c r="M25" s="3" t="s">
        <v>64</v>
      </c>
      <c r="N25" s="13" t="s">
        <v>63</v>
      </c>
      <c r="O25">
        <f t="shared" si="2"/>
        <v>10457328</v>
      </c>
      <c r="P25" cm="1">
        <f t="array" ref="P25">_xlfn._xlws.FILTER(J25 - C:C, A:A = H25, "No match")</f>
        <v>-5</v>
      </c>
      <c r="Q25" s="12" cm="1">
        <f t="array" ref="Q25">_xlfn._xlws.FILTER(ABS((J25 - $C$1:$C$100) * K25), $A$1:$A$100 = H25, "No match")</f>
        <v>2624.9625000000005</v>
      </c>
      <c r="R25" s="12" cm="1">
        <f t="array" ref="R25">_xlfn._xlws.FILTER(($E$1:$E$100-Q25), $A$1:$A$100 = H25, "No match")</f>
        <v>5774.9175000000005</v>
      </c>
      <c r="S25">
        <v>0</v>
      </c>
      <c r="T25">
        <v>0</v>
      </c>
      <c r="U25" t="e">
        <f t="shared" si="3"/>
        <v>#N/A</v>
      </c>
      <c r="X25" s="29"/>
      <c r="Y25" s="29"/>
      <c r="Z25" s="29"/>
      <c r="AA25" s="29"/>
    </row>
    <row r="26" spans="1:27" x14ac:dyDescent="0.25">
      <c r="A26" s="3">
        <v>10377105</v>
      </c>
      <c r="B26" s="4" t="s">
        <v>17</v>
      </c>
      <c r="C26" s="3">
        <v>15</v>
      </c>
      <c r="D26" s="8">
        <v>839.99200000000008</v>
      </c>
      <c r="E26" s="8">
        <f t="shared" si="0"/>
        <v>12599.880000000001</v>
      </c>
      <c r="F26" s="3" t="s">
        <v>125</v>
      </c>
      <c r="G26" s="5" t="s">
        <v>63</v>
      </c>
      <c r="H26" s="3">
        <v>10377107</v>
      </c>
      <c r="I26" s="3" t="s">
        <v>19</v>
      </c>
      <c r="J26" s="3">
        <v>25</v>
      </c>
      <c r="K26" s="8">
        <v>839.99200000000008</v>
      </c>
      <c r="L26" s="8">
        <f t="shared" si="1"/>
        <v>20999.800000000003</v>
      </c>
      <c r="M26" s="3" t="s">
        <v>130</v>
      </c>
      <c r="N26" s="13" t="s">
        <v>63</v>
      </c>
      <c r="O26">
        <f t="shared" si="2"/>
        <v>10377107</v>
      </c>
      <c r="P26" cm="1">
        <f t="array" ref="P26">_xlfn._xlws.FILTER(J26 - C:C, A:A = H26, "No match")</f>
        <v>-3</v>
      </c>
      <c r="Q26" s="12" cm="1">
        <f t="array" ref="Q26">_xlfn._xlws.FILTER(ABS((J26 - $C$1:$C$100) * K26), $A$1:$A$100 = H26, "No match")</f>
        <v>2519.9760000000001</v>
      </c>
      <c r="R26" s="12" cm="1">
        <f t="array" ref="R26">_xlfn._xlws.FILTER(($E$1:$E$100-Q26), $A$1:$A$100 = H26, "No match")</f>
        <v>20999.800000000003</v>
      </c>
      <c r="S26">
        <v>0</v>
      </c>
      <c r="T26">
        <v>0</v>
      </c>
      <c r="U26" t="e">
        <f t="shared" si="3"/>
        <v>#N/A</v>
      </c>
      <c r="X26" s="36" cm="1">
        <f t="array" ref="X26">SUM(IF(ISNUMBER(V:V), V:V, 0))</f>
        <v>10639.848000000002</v>
      </c>
      <c r="Y26" s="37"/>
      <c r="Z26" s="37"/>
      <c r="AA26" s="38"/>
    </row>
    <row r="27" spans="1:27" ht="15.75" thickBot="1" x14ac:dyDescent="0.3">
      <c r="A27" s="3">
        <v>10377106</v>
      </c>
      <c r="B27" s="4" t="s">
        <v>18</v>
      </c>
      <c r="C27" s="3">
        <v>8</v>
      </c>
      <c r="D27" s="8">
        <v>839.99200000000008</v>
      </c>
      <c r="E27" s="8">
        <f t="shared" si="0"/>
        <v>6719.9360000000006</v>
      </c>
      <c r="F27" s="3" t="s">
        <v>126</v>
      </c>
      <c r="G27" s="5" t="s">
        <v>63</v>
      </c>
      <c r="H27" s="3">
        <v>10427170</v>
      </c>
      <c r="I27" s="3">
        <v>8801017505</v>
      </c>
      <c r="J27" s="3">
        <v>2</v>
      </c>
      <c r="K27" s="8">
        <v>167.994</v>
      </c>
      <c r="L27" s="8">
        <f t="shared" si="1"/>
        <v>335.988</v>
      </c>
      <c r="M27" s="3" t="s">
        <v>84</v>
      </c>
      <c r="N27" s="13" t="s">
        <v>63</v>
      </c>
      <c r="O27">
        <f t="shared" si="2"/>
        <v>10427170</v>
      </c>
      <c r="P27" cm="1">
        <f t="array" ref="P27">_xlfn._xlws.FILTER(J27 - C:C, A:A = H27, "No match")</f>
        <v>-5</v>
      </c>
      <c r="Q27" s="12" cm="1">
        <f t="array" ref="Q27">_xlfn._xlws.FILTER(ABS((J27 - $C$1:$C$100) * K27), $A$1:$A$100 = H27, "No match")</f>
        <v>839.97</v>
      </c>
      <c r="R27" s="12" cm="1">
        <f t="array" ref="R27">_xlfn._xlws.FILTER(($E$1:$E$100-Q27), $A$1:$A$100 = H27, "No match")</f>
        <v>335.98800000000006</v>
      </c>
      <c r="S27">
        <v>0</v>
      </c>
      <c r="T27">
        <v>0</v>
      </c>
      <c r="U27" t="e">
        <f t="shared" si="3"/>
        <v>#N/A</v>
      </c>
      <c r="X27" s="39"/>
      <c r="Y27" s="40"/>
      <c r="Z27" s="40"/>
      <c r="AA27" s="41"/>
    </row>
    <row r="28" spans="1:27" x14ac:dyDescent="0.25">
      <c r="A28" s="3">
        <v>10377107</v>
      </c>
      <c r="B28" s="4" t="s">
        <v>19</v>
      </c>
      <c r="C28" s="3">
        <v>28</v>
      </c>
      <c r="D28" s="8">
        <v>839.99200000000008</v>
      </c>
      <c r="E28" s="8">
        <f t="shared" si="0"/>
        <v>23519.776000000002</v>
      </c>
      <c r="F28" s="3" t="s">
        <v>130</v>
      </c>
      <c r="G28" s="5" t="s">
        <v>63</v>
      </c>
      <c r="H28" s="3">
        <v>10377096</v>
      </c>
      <c r="I28" s="3" t="s">
        <v>32</v>
      </c>
      <c r="J28" s="3">
        <v>10</v>
      </c>
      <c r="K28" s="8">
        <v>839.99200000000008</v>
      </c>
      <c r="L28" s="8">
        <f t="shared" si="1"/>
        <v>8399.92</v>
      </c>
      <c r="M28" s="3" t="s">
        <v>131</v>
      </c>
      <c r="N28" s="13" t="s">
        <v>63</v>
      </c>
      <c r="O28">
        <f t="shared" si="2"/>
        <v>10377096</v>
      </c>
      <c r="P28" cm="1">
        <f t="array" ref="P28">_xlfn._xlws.FILTER(J28 - C:C, A:A = H28, "No match")</f>
        <v>-2</v>
      </c>
      <c r="Q28" s="12" cm="1">
        <f t="array" ref="Q28">_xlfn._xlws.FILTER(ABS((J28 - $C$1:$C$100) * K28), $A$1:$A$100 = H28, "No match")</f>
        <v>1679.9840000000002</v>
      </c>
      <c r="R28" s="12" cm="1">
        <f t="array" ref="R28">_xlfn._xlws.FILTER(($E$1:$E$100-Q28), $A$1:$A$100 = H28, "No match")</f>
        <v>8399.92</v>
      </c>
      <c r="S28">
        <v>0</v>
      </c>
      <c r="T28">
        <v>0</v>
      </c>
      <c r="U28" t="e">
        <f t="shared" si="3"/>
        <v>#N/A</v>
      </c>
    </row>
    <row r="29" spans="1:27" x14ac:dyDescent="0.25">
      <c r="A29" s="3">
        <v>10377108</v>
      </c>
      <c r="B29" s="4" t="s">
        <v>20</v>
      </c>
      <c r="C29" s="3">
        <v>26</v>
      </c>
      <c r="D29" s="8">
        <v>839.99200000000008</v>
      </c>
      <c r="E29" s="8">
        <f t="shared" si="0"/>
        <v>21839.792000000001</v>
      </c>
      <c r="F29" s="3" t="s">
        <v>132</v>
      </c>
      <c r="G29" s="5" t="s">
        <v>63</v>
      </c>
      <c r="H29" s="3">
        <v>10427563</v>
      </c>
      <c r="I29" s="3">
        <v>8980210908</v>
      </c>
      <c r="J29" s="3">
        <v>21</v>
      </c>
      <c r="K29" s="8">
        <v>149.49350000000001</v>
      </c>
      <c r="L29" s="8">
        <f t="shared" si="1"/>
        <v>3139.3635000000004</v>
      </c>
      <c r="M29" s="3" t="s">
        <v>115</v>
      </c>
      <c r="N29" s="13" t="s">
        <v>63</v>
      </c>
      <c r="O29">
        <f t="shared" si="2"/>
        <v>10427563</v>
      </c>
      <c r="P29" cm="1">
        <f t="array" ref="P29">_xlfn._xlws.FILTER(J29 - C:C, A:A = H29, "No match")</f>
        <v>-4</v>
      </c>
      <c r="Q29" s="12" cm="1">
        <f t="array" ref="Q29">_xlfn._xlws.FILTER(ABS((J29 - $C$1:$C$100) * K29), $A$1:$A$100 = H29, "No match")</f>
        <v>597.97400000000005</v>
      </c>
      <c r="R29" s="12" cm="1">
        <f t="array" ref="R29">_xlfn._xlws.FILTER(($E$1:$E$100-Q29), $A$1:$A$100 = H29, "No match")</f>
        <v>3139.3634999999999</v>
      </c>
      <c r="S29">
        <v>0</v>
      </c>
      <c r="T29">
        <v>0</v>
      </c>
      <c r="U29" t="e">
        <f t="shared" si="3"/>
        <v>#N/A</v>
      </c>
    </row>
    <row r="30" spans="1:27" x14ac:dyDescent="0.25">
      <c r="A30" s="3">
        <v>10377109</v>
      </c>
      <c r="B30" s="4" t="s">
        <v>21</v>
      </c>
      <c r="C30" s="3">
        <v>19</v>
      </c>
      <c r="D30" s="8">
        <v>839.99200000000008</v>
      </c>
      <c r="E30" s="8">
        <f t="shared" si="0"/>
        <v>15959.848000000002</v>
      </c>
      <c r="F30" s="3" t="s">
        <v>133</v>
      </c>
      <c r="G30" s="5" t="s">
        <v>63</v>
      </c>
      <c r="H30" s="3">
        <v>10377112</v>
      </c>
      <c r="I30" s="3" t="s">
        <v>36</v>
      </c>
      <c r="J30" s="3">
        <v>14</v>
      </c>
      <c r="K30" s="8">
        <v>839.99200000000008</v>
      </c>
      <c r="L30" s="8">
        <f t="shared" si="1"/>
        <v>11759.888000000001</v>
      </c>
      <c r="M30" s="3" t="s">
        <v>134</v>
      </c>
      <c r="N30" s="13" t="s">
        <v>63</v>
      </c>
      <c r="O30">
        <f t="shared" si="2"/>
        <v>10377112</v>
      </c>
      <c r="P30" cm="1">
        <f t="array" ref="P30">_xlfn._xlws.FILTER(J30 - C:C, A:A = H30, "No match")</f>
        <v>-4</v>
      </c>
      <c r="Q30" s="12" cm="1">
        <f t="array" ref="Q30">_xlfn._xlws.FILTER(ABS((J30 - $C$1:$C$100) * K30), $A$1:$A$100 = H30, "No match")</f>
        <v>3359.9680000000003</v>
      </c>
      <c r="R30" s="12" cm="1">
        <f t="array" ref="R30">_xlfn._xlws.FILTER(($E$1:$E$100-Q30), $A$1:$A$100 = H30, "No match")</f>
        <v>11759.888000000001</v>
      </c>
      <c r="S30">
        <v>0</v>
      </c>
      <c r="T30">
        <v>0</v>
      </c>
      <c r="U30" t="e">
        <f t="shared" si="3"/>
        <v>#N/A</v>
      </c>
    </row>
    <row r="31" spans="1:27" x14ac:dyDescent="0.25">
      <c r="A31" s="3">
        <v>10377110</v>
      </c>
      <c r="B31" s="4" t="s">
        <v>22</v>
      </c>
      <c r="C31" s="3">
        <v>8</v>
      </c>
      <c r="D31" s="8">
        <v>839.99200000000008</v>
      </c>
      <c r="E31" s="8">
        <f t="shared" si="0"/>
        <v>6719.9360000000006</v>
      </c>
      <c r="F31" s="3" t="s">
        <v>135</v>
      </c>
      <c r="G31" s="5" t="s">
        <v>63</v>
      </c>
      <c r="H31" s="3">
        <v>10377111</v>
      </c>
      <c r="I31" s="3" t="s">
        <v>35</v>
      </c>
      <c r="J31" s="3">
        <v>19</v>
      </c>
      <c r="K31" s="8">
        <v>839.99200000000008</v>
      </c>
      <c r="L31" s="8">
        <f t="shared" si="1"/>
        <v>15959.848000000002</v>
      </c>
      <c r="M31" s="3" t="s">
        <v>136</v>
      </c>
      <c r="N31" s="13" t="s">
        <v>63</v>
      </c>
      <c r="O31">
        <f t="shared" si="2"/>
        <v>10377111</v>
      </c>
      <c r="P31" cm="1">
        <f t="array" ref="P31">_xlfn._xlws.FILTER(J31 - C:C, A:A = H31, "No match")</f>
        <v>-2</v>
      </c>
      <c r="Q31" s="12" cm="1">
        <f t="array" ref="Q31">_xlfn._xlws.FILTER(ABS((J31 - $C$1:$C$100) * K31), $A$1:$A$100 = H31, "No match")</f>
        <v>1679.9840000000002</v>
      </c>
      <c r="R31" s="12" cm="1">
        <f t="array" ref="R31">_xlfn._xlws.FILTER(($E$1:$E$100-Q31), $A$1:$A$100 = H31, "No match")</f>
        <v>15959.848000000002</v>
      </c>
      <c r="S31">
        <v>0</v>
      </c>
      <c r="T31">
        <v>0</v>
      </c>
      <c r="U31" t="e">
        <f t="shared" si="3"/>
        <v>#N/A</v>
      </c>
    </row>
    <row r="32" spans="1:27" x14ac:dyDescent="0.25">
      <c r="A32" s="3">
        <v>10377099</v>
      </c>
      <c r="B32" s="4" t="s">
        <v>23</v>
      </c>
      <c r="C32" s="3">
        <v>15</v>
      </c>
      <c r="D32" s="8">
        <v>839.99200000000008</v>
      </c>
      <c r="E32" s="8">
        <f t="shared" si="0"/>
        <v>12599.880000000001</v>
      </c>
      <c r="F32" s="3" t="s">
        <v>137</v>
      </c>
      <c r="G32" s="5" t="s">
        <v>63</v>
      </c>
      <c r="H32" s="3">
        <v>10427571</v>
      </c>
      <c r="I32" s="3">
        <v>8980210506</v>
      </c>
      <c r="J32" s="3">
        <v>24</v>
      </c>
      <c r="K32" s="8">
        <v>149.49350000000001</v>
      </c>
      <c r="L32" s="8">
        <f t="shared" si="1"/>
        <v>3587.8440000000001</v>
      </c>
      <c r="M32" s="3" t="s">
        <v>111</v>
      </c>
      <c r="N32" s="13" t="s">
        <v>63</v>
      </c>
      <c r="O32">
        <f t="shared" si="2"/>
        <v>10427571</v>
      </c>
      <c r="P32" cm="1">
        <f t="array" ref="P32">_xlfn._xlws.FILTER(J32 - C:C, A:A = H32, "No match")</f>
        <v>-1</v>
      </c>
      <c r="Q32" s="12" cm="1">
        <f t="array" ref="Q32">_xlfn._xlws.FILTER(ABS((J32 - $C$1:$C$100) * K32), $A$1:$A$100 = H32, "No match")</f>
        <v>149.49350000000001</v>
      </c>
      <c r="R32" s="12" cm="1">
        <f t="array" ref="R32">_xlfn._xlws.FILTER(($E$1:$E$100-Q32), $A$1:$A$100 = H32, "No match")</f>
        <v>3587.8440000000001</v>
      </c>
      <c r="S32">
        <v>0</v>
      </c>
      <c r="T32">
        <v>0</v>
      </c>
      <c r="U32" t="e">
        <f t="shared" si="3"/>
        <v>#N/A</v>
      </c>
    </row>
    <row r="33" spans="1:21" x14ac:dyDescent="0.25">
      <c r="A33" s="3">
        <v>10377100</v>
      </c>
      <c r="B33" s="4" t="s">
        <v>24</v>
      </c>
      <c r="C33" s="3">
        <v>5</v>
      </c>
      <c r="D33" s="8">
        <v>839.99200000000008</v>
      </c>
      <c r="E33" s="8">
        <f t="shared" si="0"/>
        <v>4199.96</v>
      </c>
      <c r="F33" s="3" t="s">
        <v>138</v>
      </c>
      <c r="G33" s="5" t="s">
        <v>63</v>
      </c>
      <c r="H33" s="3">
        <v>10427188</v>
      </c>
      <c r="I33" s="3">
        <v>8801010507</v>
      </c>
      <c r="J33" s="3">
        <v>11</v>
      </c>
      <c r="K33" s="8">
        <v>167.994</v>
      </c>
      <c r="L33" s="8">
        <f t="shared" si="1"/>
        <v>1847.934</v>
      </c>
      <c r="M33" s="3" t="s">
        <v>85</v>
      </c>
      <c r="N33" s="13" t="s">
        <v>63</v>
      </c>
      <c r="O33">
        <f t="shared" si="2"/>
        <v>10427188</v>
      </c>
      <c r="P33" cm="1">
        <f t="array" ref="P33">_xlfn._xlws.FILTER(J33 - C:C, A:A = H33, "No match")</f>
        <v>-4</v>
      </c>
      <c r="Q33" s="12" cm="1">
        <f t="array" ref="Q33">_xlfn._xlws.FILTER(ABS((J33 - $C$1:$C$100) * K33), $A$1:$A$100 = H33, "No match")</f>
        <v>671.976</v>
      </c>
      <c r="R33" s="12" cm="1">
        <f t="array" ref="R33">_xlfn._xlws.FILTER(($E$1:$E$100-Q33), $A$1:$A$100 = H33, "No match")</f>
        <v>1847.9339999999997</v>
      </c>
      <c r="S33">
        <v>0</v>
      </c>
      <c r="T33">
        <v>0</v>
      </c>
      <c r="U33" t="e">
        <f t="shared" si="3"/>
        <v>#N/A</v>
      </c>
    </row>
    <row r="34" spans="1:21" x14ac:dyDescent="0.25">
      <c r="A34" s="3">
        <v>10377101</v>
      </c>
      <c r="B34" s="4" t="s">
        <v>25</v>
      </c>
      <c r="C34" s="3">
        <v>22</v>
      </c>
      <c r="D34" s="8">
        <v>839.99200000000008</v>
      </c>
      <c r="E34" s="8">
        <f t="shared" si="0"/>
        <v>18479.824000000001</v>
      </c>
      <c r="F34" s="3" t="s">
        <v>139</v>
      </c>
      <c r="G34" s="5" t="s">
        <v>63</v>
      </c>
      <c r="H34" s="3">
        <v>10377104</v>
      </c>
      <c r="I34" s="3" t="s">
        <v>28</v>
      </c>
      <c r="J34" s="3">
        <v>10</v>
      </c>
      <c r="K34" s="8">
        <v>839.99200000000008</v>
      </c>
      <c r="L34" s="8">
        <f t="shared" si="1"/>
        <v>8399.92</v>
      </c>
      <c r="M34" s="3" t="s">
        <v>140</v>
      </c>
      <c r="N34" s="13" t="s">
        <v>63</v>
      </c>
      <c r="O34">
        <f t="shared" si="2"/>
        <v>10377104</v>
      </c>
      <c r="P34" cm="1">
        <f t="array" ref="P34">_xlfn._xlws.FILTER(J34 - C:C, A:A = H34, "No match")</f>
        <v>-1</v>
      </c>
      <c r="Q34" s="12" cm="1">
        <f t="array" ref="Q34">_xlfn._xlws.FILTER(ABS((J34 - $C$1:$C$100) * K34), $A$1:$A$100 = H34, "No match")</f>
        <v>839.99200000000008</v>
      </c>
      <c r="R34" s="12" cm="1">
        <f t="array" ref="R34">_xlfn._xlws.FILTER(($E$1:$E$100-Q34), $A$1:$A$100 = H34, "No match")</f>
        <v>8399.92</v>
      </c>
      <c r="S34">
        <v>0</v>
      </c>
      <c r="T34">
        <v>0</v>
      </c>
      <c r="U34" t="e">
        <f t="shared" si="3"/>
        <v>#N/A</v>
      </c>
    </row>
    <row r="35" spans="1:21" x14ac:dyDescent="0.25">
      <c r="A35" s="3">
        <v>10377102</v>
      </c>
      <c r="B35" s="4" t="s">
        <v>26</v>
      </c>
      <c r="C35" s="3">
        <v>22</v>
      </c>
      <c r="D35" s="8">
        <v>839.99200000000008</v>
      </c>
      <c r="E35" s="8">
        <f t="shared" si="0"/>
        <v>18479.824000000001</v>
      </c>
      <c r="F35" s="3" t="s">
        <v>141</v>
      </c>
      <c r="G35" s="5" t="s">
        <v>63</v>
      </c>
      <c r="H35" s="3">
        <v>10377109</v>
      </c>
      <c r="I35" s="3" t="s">
        <v>21</v>
      </c>
      <c r="J35" s="3">
        <v>16</v>
      </c>
      <c r="K35" s="8">
        <v>839.99200000000008</v>
      </c>
      <c r="L35" s="8">
        <f t="shared" si="1"/>
        <v>13439.872000000001</v>
      </c>
      <c r="M35" s="3" t="s">
        <v>133</v>
      </c>
      <c r="N35" s="13" t="s">
        <v>63</v>
      </c>
      <c r="O35">
        <f t="shared" si="2"/>
        <v>10377109</v>
      </c>
      <c r="P35" cm="1">
        <f t="array" ref="P35">_xlfn._xlws.FILTER(J35 - C:C, A:A = H35, "No match")</f>
        <v>-3</v>
      </c>
      <c r="Q35" s="12" cm="1">
        <f t="array" ref="Q35">_xlfn._xlws.FILTER(ABS((J35 - $C$1:$C$100) * K35), $A$1:$A$100 = H35, "No match")</f>
        <v>2519.9760000000001</v>
      </c>
      <c r="R35" s="12" cm="1">
        <f t="array" ref="R35">_xlfn._xlws.FILTER(($E$1:$E$100-Q35), $A$1:$A$100 = H35, "No match")</f>
        <v>13439.872000000001</v>
      </c>
      <c r="S35">
        <v>0</v>
      </c>
      <c r="T35">
        <v>0</v>
      </c>
      <c r="U35" t="e">
        <f t="shared" si="3"/>
        <v>#N/A</v>
      </c>
    </row>
    <row r="36" spans="1:21" x14ac:dyDescent="0.25">
      <c r="A36" s="3">
        <v>10377103</v>
      </c>
      <c r="B36" s="4" t="s">
        <v>27</v>
      </c>
      <c r="C36" s="3">
        <v>30</v>
      </c>
      <c r="D36" s="8">
        <v>839.99200000000008</v>
      </c>
      <c r="E36" s="8">
        <f t="shared" si="0"/>
        <v>25199.760000000002</v>
      </c>
      <c r="F36" s="3" t="s">
        <v>142</v>
      </c>
      <c r="G36" s="5" t="s">
        <v>63</v>
      </c>
      <c r="H36" s="3">
        <v>10377103</v>
      </c>
      <c r="I36" s="3" t="s">
        <v>27</v>
      </c>
      <c r="J36" s="3">
        <v>28</v>
      </c>
      <c r="K36" s="8">
        <v>839.99200000000008</v>
      </c>
      <c r="L36" s="8">
        <f t="shared" si="1"/>
        <v>23519.776000000002</v>
      </c>
      <c r="M36" s="3" t="s">
        <v>142</v>
      </c>
      <c r="N36" s="13" t="s">
        <v>63</v>
      </c>
      <c r="O36">
        <f t="shared" si="2"/>
        <v>10377103</v>
      </c>
      <c r="P36" cm="1">
        <f t="array" ref="P36">_xlfn._xlws.FILTER(J36 - C:C, A:A = H36, "No match")</f>
        <v>-2</v>
      </c>
      <c r="Q36" s="12" cm="1">
        <f t="array" ref="Q36">_xlfn._xlws.FILTER(ABS((J36 - $C$1:$C$100) * K36), $A$1:$A$100 = H36, "No match")</f>
        <v>1679.9840000000002</v>
      </c>
      <c r="R36" s="12" cm="1">
        <f t="array" ref="R36">_xlfn._xlws.FILTER(($E$1:$E$100-Q36), $A$1:$A$100 = H36, "No match")</f>
        <v>23519.776000000002</v>
      </c>
      <c r="S36">
        <v>0</v>
      </c>
      <c r="T36">
        <v>0</v>
      </c>
      <c r="U36" t="e">
        <f t="shared" si="3"/>
        <v>#N/A</v>
      </c>
    </row>
    <row r="37" spans="1:21" x14ac:dyDescent="0.25">
      <c r="A37" s="3">
        <v>10377104</v>
      </c>
      <c r="B37" s="4" t="s">
        <v>28</v>
      </c>
      <c r="C37" s="3">
        <v>11</v>
      </c>
      <c r="D37" s="8">
        <v>839.99200000000008</v>
      </c>
      <c r="E37" s="8">
        <f t="shared" si="0"/>
        <v>9239.9120000000003</v>
      </c>
      <c r="F37" s="3" t="s">
        <v>140</v>
      </c>
      <c r="G37" s="5" t="s">
        <v>63</v>
      </c>
      <c r="H37" s="3">
        <v>10427165</v>
      </c>
      <c r="I37" s="3">
        <v>8801017704</v>
      </c>
      <c r="J37" s="3">
        <v>10</v>
      </c>
      <c r="K37" s="8">
        <v>167.994</v>
      </c>
      <c r="L37" s="8">
        <f t="shared" si="1"/>
        <v>1679.94</v>
      </c>
      <c r="M37" s="3" t="s">
        <v>86</v>
      </c>
      <c r="N37" s="13" t="s">
        <v>63</v>
      </c>
      <c r="O37">
        <f t="shared" si="2"/>
        <v>10427165</v>
      </c>
      <c r="P37" cm="1">
        <f t="array" ref="P37">_xlfn._xlws.FILTER(J37 - C:C, A:A = H37, "No match")</f>
        <v>0</v>
      </c>
      <c r="Q37" s="12" cm="1">
        <f t="array" ref="Q37">_xlfn._xlws.FILTER(ABS((J37 - $C$1:$C$100) * K37), $A$1:$A$100 = H37, "No match")</f>
        <v>0</v>
      </c>
      <c r="R37" s="12" cm="1">
        <f t="array" ref="R37">_xlfn._xlws.FILTER(($E$1:$E$100-Q37), $A$1:$A$100 = H37, "No match")</f>
        <v>1679.94</v>
      </c>
      <c r="S37">
        <v>0</v>
      </c>
      <c r="T37">
        <v>0</v>
      </c>
      <c r="U37" t="e">
        <f t="shared" si="3"/>
        <v>#N/A</v>
      </c>
    </row>
    <row r="38" spans="1:21" x14ac:dyDescent="0.25">
      <c r="A38" s="3">
        <v>10377093</v>
      </c>
      <c r="B38" s="4" t="s">
        <v>29</v>
      </c>
      <c r="C38" s="3">
        <v>9</v>
      </c>
      <c r="D38" s="8">
        <v>839.99200000000008</v>
      </c>
      <c r="E38" s="8">
        <f t="shared" si="0"/>
        <v>7559.9280000000008</v>
      </c>
      <c r="F38" s="3" t="s">
        <v>143</v>
      </c>
      <c r="G38" s="5" t="s">
        <v>63</v>
      </c>
      <c r="H38" s="3">
        <v>10457330</v>
      </c>
      <c r="I38" s="3" t="s">
        <v>10</v>
      </c>
      <c r="J38" s="3">
        <v>10</v>
      </c>
      <c r="K38" s="8">
        <v>524.99250000000006</v>
      </c>
      <c r="L38" s="8">
        <f t="shared" si="1"/>
        <v>5249.9250000000011</v>
      </c>
      <c r="M38" s="3" t="s">
        <v>66</v>
      </c>
      <c r="N38" s="13" t="s">
        <v>63</v>
      </c>
      <c r="O38">
        <f t="shared" si="2"/>
        <v>10457330</v>
      </c>
      <c r="P38" cm="1">
        <f t="array" ref="P38">_xlfn._xlws.FILTER(J38 - C:C, A:A = H38, "No match")</f>
        <v>-1</v>
      </c>
      <c r="Q38" s="12" cm="1">
        <f t="array" ref="Q38">_xlfn._xlws.FILTER(ABS((J38 - $C$1:$C$100) * K38), $A$1:$A$100 = H38, "No match")</f>
        <v>524.99250000000006</v>
      </c>
      <c r="R38" s="12" cm="1">
        <f t="array" ref="R38">_xlfn._xlws.FILTER(($E$1:$E$100-Q38), $A$1:$A$100 = H38, "No match")</f>
        <v>5249.9250000000002</v>
      </c>
      <c r="S38">
        <v>0</v>
      </c>
      <c r="T38">
        <v>0</v>
      </c>
      <c r="U38" t="e">
        <f t="shared" si="3"/>
        <v>#N/A</v>
      </c>
    </row>
    <row r="39" spans="1:21" x14ac:dyDescent="0.25">
      <c r="A39" s="3">
        <v>10377094</v>
      </c>
      <c r="B39" s="4" t="s">
        <v>30</v>
      </c>
      <c r="C39" s="3">
        <v>17</v>
      </c>
      <c r="D39" s="8">
        <v>839.99200000000008</v>
      </c>
      <c r="E39" s="8">
        <f t="shared" si="0"/>
        <v>14279.864000000001</v>
      </c>
      <c r="F39" s="3" t="s">
        <v>129</v>
      </c>
      <c r="G39" s="5" t="s">
        <v>63</v>
      </c>
      <c r="H39" s="3">
        <v>10427163</v>
      </c>
      <c r="I39" s="3">
        <v>2365687</v>
      </c>
      <c r="J39" s="3">
        <v>18</v>
      </c>
      <c r="K39" s="8">
        <v>167.994</v>
      </c>
      <c r="L39" s="8">
        <f t="shared" si="1"/>
        <v>3023.8919999999998</v>
      </c>
      <c r="M39" s="3" t="s">
        <v>87</v>
      </c>
      <c r="N39" s="13" t="s">
        <v>63</v>
      </c>
      <c r="O39">
        <f t="shared" si="2"/>
        <v>10427163</v>
      </c>
      <c r="P39" cm="1">
        <f t="array" ref="P39">_xlfn._xlws.FILTER(J39 - C:C, A:A = H39, "No match")</f>
        <v>-1</v>
      </c>
      <c r="Q39" s="12" cm="1">
        <f t="array" ref="Q39">_xlfn._xlws.FILTER(ABS((J39 - $C$1:$C$100) * K39), $A$1:$A$100 = H39, "No match")</f>
        <v>167.994</v>
      </c>
      <c r="R39" s="12" cm="1">
        <f t="array" ref="R39">_xlfn._xlws.FILTER(($E$1:$E$100-Q39), $A$1:$A$100 = H39, "No match")</f>
        <v>3023.8919999999998</v>
      </c>
      <c r="S39">
        <v>0</v>
      </c>
      <c r="T39">
        <v>0</v>
      </c>
      <c r="U39" t="e">
        <f t="shared" si="3"/>
        <v>#N/A</v>
      </c>
    </row>
    <row r="40" spans="1:21" x14ac:dyDescent="0.25">
      <c r="A40" s="3">
        <v>10377095</v>
      </c>
      <c r="B40" s="4" t="s">
        <v>31</v>
      </c>
      <c r="C40" s="3">
        <v>25</v>
      </c>
      <c r="D40" s="8">
        <v>839.99200000000008</v>
      </c>
      <c r="E40" s="8">
        <f t="shared" si="0"/>
        <v>20999.800000000003</v>
      </c>
      <c r="F40" s="3" t="s">
        <v>144</v>
      </c>
      <c r="G40" s="5" t="s">
        <v>63</v>
      </c>
      <c r="H40" s="3">
        <v>10427569</v>
      </c>
      <c r="I40" s="3">
        <v>8980210508</v>
      </c>
      <c r="J40" s="3">
        <v>9</v>
      </c>
      <c r="K40" s="8">
        <v>149.49350000000001</v>
      </c>
      <c r="L40" s="8">
        <f t="shared" si="1"/>
        <v>1345.4415000000001</v>
      </c>
      <c r="M40" s="3" t="s">
        <v>110</v>
      </c>
      <c r="N40" s="13" t="s">
        <v>63</v>
      </c>
      <c r="O40">
        <f t="shared" si="2"/>
        <v>10427569</v>
      </c>
      <c r="P40" cm="1">
        <f t="array" ref="P40">_xlfn._xlws.FILTER(J40 - C:C, A:A = H40, "No match")</f>
        <v>0</v>
      </c>
      <c r="Q40" s="12" cm="1">
        <f t="array" ref="Q40">_xlfn._xlws.FILTER(ABS((J40 - $C$1:$C$100) * K40), $A$1:$A$100 = H40, "No match")</f>
        <v>0</v>
      </c>
      <c r="R40" s="12" cm="1">
        <f t="array" ref="R40">_xlfn._xlws.FILTER(($E$1:$E$100-Q40), $A$1:$A$100 = H40, "No match")</f>
        <v>1345.4415000000001</v>
      </c>
      <c r="S40">
        <v>0</v>
      </c>
      <c r="T40">
        <v>0</v>
      </c>
      <c r="U40" t="e">
        <f t="shared" si="3"/>
        <v>#N/A</v>
      </c>
    </row>
    <row r="41" spans="1:21" x14ac:dyDescent="0.25">
      <c r="A41" s="3">
        <v>10377096</v>
      </c>
      <c r="B41" s="4" t="s">
        <v>32</v>
      </c>
      <c r="C41" s="3">
        <v>12</v>
      </c>
      <c r="D41" s="8">
        <v>839.99200000000008</v>
      </c>
      <c r="E41" s="8">
        <f t="shared" si="0"/>
        <v>10079.904</v>
      </c>
      <c r="F41" s="3" t="s">
        <v>131</v>
      </c>
      <c r="G41" s="5" t="s">
        <v>63</v>
      </c>
      <c r="H41" s="3">
        <v>10377101</v>
      </c>
      <c r="I41" s="3" t="s">
        <v>25</v>
      </c>
      <c r="J41" s="3">
        <v>18</v>
      </c>
      <c r="K41" s="8">
        <v>839.99200000000008</v>
      </c>
      <c r="L41" s="8">
        <f t="shared" si="1"/>
        <v>15119.856000000002</v>
      </c>
      <c r="M41" s="3" t="s">
        <v>139</v>
      </c>
      <c r="N41" s="13" t="s">
        <v>63</v>
      </c>
      <c r="O41">
        <f t="shared" si="2"/>
        <v>10377101</v>
      </c>
      <c r="P41" cm="1">
        <f t="array" ref="P41">_xlfn._xlws.FILTER(J41 - C:C, A:A = H41, "No match")</f>
        <v>-4</v>
      </c>
      <c r="Q41" s="12" cm="1">
        <f t="array" ref="Q41">_xlfn._xlws.FILTER(ABS((J41 - $C$1:$C$100) * K41), $A$1:$A$100 = H41, "No match")</f>
        <v>3359.9680000000003</v>
      </c>
      <c r="R41" s="12" cm="1">
        <f t="array" ref="R41">_xlfn._xlws.FILTER(($E$1:$E$100-Q41), $A$1:$A$100 = H41, "No match")</f>
        <v>15119.856</v>
      </c>
      <c r="S41">
        <v>0</v>
      </c>
      <c r="T41">
        <v>0</v>
      </c>
      <c r="U41" t="e">
        <f t="shared" si="3"/>
        <v>#N/A</v>
      </c>
    </row>
    <row r="42" spans="1:21" x14ac:dyDescent="0.25">
      <c r="A42" s="3">
        <v>10377097</v>
      </c>
      <c r="B42" s="4" t="s">
        <v>33</v>
      </c>
      <c r="C42" s="3">
        <v>7</v>
      </c>
      <c r="D42" s="8">
        <v>839.99200000000008</v>
      </c>
      <c r="E42" s="8">
        <f t="shared" si="0"/>
        <v>5879.9440000000004</v>
      </c>
      <c r="F42" s="3" t="s">
        <v>145</v>
      </c>
      <c r="G42" s="5" t="s">
        <v>63</v>
      </c>
      <c r="H42" s="3">
        <v>10457333</v>
      </c>
      <c r="I42" s="3" t="s">
        <v>14</v>
      </c>
      <c r="J42" s="3">
        <v>21</v>
      </c>
      <c r="K42" s="8">
        <v>528.74250000000006</v>
      </c>
      <c r="L42" s="8">
        <f t="shared" si="1"/>
        <v>11103.592500000001</v>
      </c>
      <c r="M42" s="3" t="s">
        <v>69</v>
      </c>
      <c r="N42" s="13" t="s">
        <v>63</v>
      </c>
      <c r="O42">
        <f t="shared" si="2"/>
        <v>10457333</v>
      </c>
      <c r="P42" cm="1">
        <f t="array" ref="P42">_xlfn._xlws.FILTER(J42 - C:C, A:A = H42, "No match")</f>
        <v>0</v>
      </c>
      <c r="Q42" s="12" cm="1">
        <f t="array" ref="Q42">_xlfn._xlws.FILTER(ABS((J42 - $C$1:$C$100) * K42), $A$1:$A$100 = H42, "No match")</f>
        <v>0</v>
      </c>
      <c r="R42" s="12" cm="1">
        <f t="array" ref="R42">_xlfn._xlws.FILTER(($E$1:$E$100-Q42), $A$1:$A$100 = H42, "No match")</f>
        <v>11103.592500000001</v>
      </c>
      <c r="S42">
        <v>0</v>
      </c>
      <c r="T42">
        <v>0</v>
      </c>
      <c r="U42" t="e">
        <f t="shared" si="3"/>
        <v>#N/A</v>
      </c>
    </row>
    <row r="43" spans="1:21" x14ac:dyDescent="0.25">
      <c r="A43" s="3">
        <v>10377098</v>
      </c>
      <c r="B43" s="4" t="s">
        <v>34</v>
      </c>
      <c r="C43" s="3">
        <v>26</v>
      </c>
      <c r="D43" s="8">
        <v>839.99200000000008</v>
      </c>
      <c r="E43" s="8">
        <f t="shared" si="0"/>
        <v>21839.792000000001</v>
      </c>
      <c r="F43" s="3" t="s">
        <v>146</v>
      </c>
      <c r="G43" s="5" t="s">
        <v>63</v>
      </c>
      <c r="H43" s="3">
        <v>10377098</v>
      </c>
      <c r="I43" s="3" t="s">
        <v>34</v>
      </c>
      <c r="J43" s="3">
        <v>23</v>
      </c>
      <c r="K43" s="8">
        <v>839.99200000000008</v>
      </c>
      <c r="L43" s="8">
        <f t="shared" si="1"/>
        <v>19319.816000000003</v>
      </c>
      <c r="M43" s="3" t="s">
        <v>146</v>
      </c>
      <c r="N43" s="13" t="s">
        <v>63</v>
      </c>
      <c r="O43">
        <f t="shared" si="2"/>
        <v>10377098</v>
      </c>
      <c r="P43" cm="1">
        <f t="array" ref="P43">_xlfn._xlws.FILTER(J43 - C:C, A:A = H43, "No match")</f>
        <v>-3</v>
      </c>
      <c r="Q43" s="12" cm="1">
        <f t="array" ref="Q43">_xlfn._xlws.FILTER(ABS((J43 - $C$1:$C$100) * K43), $A$1:$A$100 = H43, "No match")</f>
        <v>2519.9760000000001</v>
      </c>
      <c r="R43" s="12" cm="1">
        <f t="array" ref="R43">_xlfn._xlws.FILTER(($E$1:$E$100-Q43), $A$1:$A$100 = H43, "No match")</f>
        <v>19319.816000000003</v>
      </c>
      <c r="S43">
        <v>0</v>
      </c>
      <c r="T43">
        <v>0</v>
      </c>
      <c r="U43" t="e">
        <f t="shared" si="3"/>
        <v>#N/A</v>
      </c>
    </row>
    <row r="44" spans="1:21" x14ac:dyDescent="0.25">
      <c r="A44" s="3">
        <v>10377111</v>
      </c>
      <c r="B44" s="4" t="s">
        <v>35</v>
      </c>
      <c r="C44" s="3">
        <v>21</v>
      </c>
      <c r="D44" s="8">
        <v>839.99200000000008</v>
      </c>
      <c r="E44" s="8">
        <f t="shared" si="0"/>
        <v>17639.832000000002</v>
      </c>
      <c r="F44" s="3" t="s">
        <v>136</v>
      </c>
      <c r="G44" s="5" t="s">
        <v>63</v>
      </c>
      <c r="H44" s="3">
        <v>10377102</v>
      </c>
      <c r="I44" s="3" t="s">
        <v>26</v>
      </c>
      <c r="J44" s="3">
        <v>18</v>
      </c>
      <c r="K44" s="8">
        <v>839.99200000000008</v>
      </c>
      <c r="L44" s="8">
        <f t="shared" si="1"/>
        <v>15119.856000000002</v>
      </c>
      <c r="M44" s="3" t="s">
        <v>141</v>
      </c>
      <c r="N44" s="13" t="s">
        <v>63</v>
      </c>
      <c r="O44">
        <f t="shared" si="2"/>
        <v>10377102</v>
      </c>
      <c r="P44" cm="1">
        <f t="array" ref="P44">_xlfn._xlws.FILTER(J44 - C:C, A:A = H44, "No match")</f>
        <v>-4</v>
      </c>
      <c r="Q44" s="12" cm="1">
        <f t="array" ref="Q44">_xlfn._xlws.FILTER(ABS((J44 - $C$1:$C$100) * K44), $A$1:$A$100 = H44, "No match")</f>
        <v>3359.9680000000003</v>
      </c>
      <c r="R44" s="12" cm="1">
        <f t="array" ref="R44">_xlfn._xlws.FILTER(($E$1:$E$100-Q44), $A$1:$A$100 = H44, "No match")</f>
        <v>15119.856</v>
      </c>
      <c r="S44">
        <v>0</v>
      </c>
      <c r="T44">
        <v>0</v>
      </c>
      <c r="U44" t="e">
        <f t="shared" si="3"/>
        <v>#N/A</v>
      </c>
    </row>
    <row r="45" spans="1:21" x14ac:dyDescent="0.25">
      <c r="A45" s="3">
        <v>10377112</v>
      </c>
      <c r="B45" s="4" t="s">
        <v>36</v>
      </c>
      <c r="C45" s="3">
        <v>18</v>
      </c>
      <c r="D45" s="8">
        <v>839.99200000000008</v>
      </c>
      <c r="E45" s="8">
        <f t="shared" si="0"/>
        <v>15119.856000000002</v>
      </c>
      <c r="F45" s="3" t="s">
        <v>134</v>
      </c>
      <c r="G45" s="5" t="s">
        <v>63</v>
      </c>
      <c r="H45" s="3">
        <v>10427189</v>
      </c>
      <c r="I45" s="3">
        <v>8801010506</v>
      </c>
      <c r="J45" s="3">
        <v>16</v>
      </c>
      <c r="K45" s="8">
        <v>167.994</v>
      </c>
      <c r="L45" s="8">
        <f t="shared" si="1"/>
        <v>2687.904</v>
      </c>
      <c r="M45" s="3" t="s">
        <v>88</v>
      </c>
      <c r="N45" s="13" t="s">
        <v>63</v>
      </c>
      <c r="O45">
        <f t="shared" si="2"/>
        <v>10427189</v>
      </c>
      <c r="P45" cm="1">
        <f t="array" ref="P45">_xlfn._xlws.FILTER(J45 - C:C, A:A = H45, "No match")</f>
        <v>-2</v>
      </c>
      <c r="Q45" s="12" cm="1">
        <f t="array" ref="Q45">_xlfn._xlws.FILTER(ABS((J45 - $C$1:$C$100) * K45), $A$1:$A$100 = H45, "No match")</f>
        <v>335.988</v>
      </c>
      <c r="R45" s="12" cm="1">
        <f t="array" ref="R45">_xlfn._xlws.FILTER(($E$1:$E$100-Q45), $A$1:$A$100 = H45, "No match")</f>
        <v>2687.904</v>
      </c>
      <c r="S45">
        <v>0</v>
      </c>
      <c r="T45">
        <v>0</v>
      </c>
      <c r="U45" t="e">
        <f t="shared" si="3"/>
        <v>#N/A</v>
      </c>
    </row>
    <row r="46" spans="1:21" x14ac:dyDescent="0.25">
      <c r="A46" s="3">
        <v>10377113</v>
      </c>
      <c r="B46" s="4" t="s">
        <v>37</v>
      </c>
      <c r="C46" s="3">
        <v>8</v>
      </c>
      <c r="D46" s="8">
        <v>839.99200000000008</v>
      </c>
      <c r="E46" s="8">
        <f t="shared" si="0"/>
        <v>6719.9360000000006</v>
      </c>
      <c r="F46" s="3" t="s">
        <v>147</v>
      </c>
      <c r="G46" s="5" t="s">
        <v>63</v>
      </c>
      <c r="H46" s="3">
        <v>10377097</v>
      </c>
      <c r="I46" s="3" t="s">
        <v>33</v>
      </c>
      <c r="J46" s="3">
        <v>5</v>
      </c>
      <c r="K46" s="8">
        <v>839.99200000000008</v>
      </c>
      <c r="L46" s="8">
        <f t="shared" si="1"/>
        <v>4199.96</v>
      </c>
      <c r="M46" s="3" t="s">
        <v>145</v>
      </c>
      <c r="N46" s="13" t="s">
        <v>63</v>
      </c>
      <c r="O46">
        <f t="shared" si="2"/>
        <v>10377097</v>
      </c>
      <c r="P46" cm="1">
        <f t="array" ref="P46">_xlfn._xlws.FILTER(J46 - C:C, A:A = H46, "No match")</f>
        <v>-2</v>
      </c>
      <c r="Q46" s="12" cm="1">
        <f t="array" ref="Q46">_xlfn._xlws.FILTER(ABS((J46 - $C$1:$C$100) * K46), $A$1:$A$100 = H46, "No match")</f>
        <v>1679.9840000000002</v>
      </c>
      <c r="R46" s="12" cm="1">
        <f t="array" ref="R46">_xlfn._xlws.FILTER(($E$1:$E$100-Q46), $A$1:$A$100 = H46, "No match")</f>
        <v>4199.96</v>
      </c>
      <c r="S46">
        <v>0</v>
      </c>
      <c r="T46">
        <v>0</v>
      </c>
      <c r="U46" t="e">
        <f t="shared" si="3"/>
        <v>#N/A</v>
      </c>
    </row>
    <row r="47" spans="1:21" x14ac:dyDescent="0.25">
      <c r="A47" s="3">
        <v>10377114</v>
      </c>
      <c r="B47" s="4" t="s">
        <v>38</v>
      </c>
      <c r="C47" s="3">
        <v>21</v>
      </c>
      <c r="D47" s="8">
        <v>839.99200000000008</v>
      </c>
      <c r="E47" s="8">
        <f t="shared" si="0"/>
        <v>17639.832000000002</v>
      </c>
      <c r="F47" s="3" t="s">
        <v>128</v>
      </c>
      <c r="G47" s="5" t="s">
        <v>63</v>
      </c>
      <c r="H47" s="3">
        <v>10377100</v>
      </c>
      <c r="I47" s="3" t="s">
        <v>24</v>
      </c>
      <c r="J47" s="3">
        <v>5</v>
      </c>
      <c r="K47" s="8">
        <v>839.99200000000008</v>
      </c>
      <c r="L47" s="8">
        <f t="shared" si="1"/>
        <v>4199.96</v>
      </c>
      <c r="M47" s="3" t="s">
        <v>138</v>
      </c>
      <c r="N47" s="13" t="s">
        <v>63</v>
      </c>
      <c r="O47">
        <f t="shared" si="2"/>
        <v>10377100</v>
      </c>
      <c r="P47" cm="1">
        <f t="array" ref="P47">_xlfn._xlws.FILTER(J47 - C:C, A:A = H47, "No match")</f>
        <v>0</v>
      </c>
      <c r="Q47" s="12" cm="1">
        <f t="array" ref="Q47">_xlfn._xlws.FILTER(ABS((J47 - $C$1:$C$100) * K47), $A$1:$A$100 = H47, "No match")</f>
        <v>0</v>
      </c>
      <c r="R47" s="12" cm="1">
        <f t="array" ref="R47">_xlfn._xlws.FILTER(($E$1:$E$100-Q47), $A$1:$A$100 = H47, "No match")</f>
        <v>4199.96</v>
      </c>
      <c r="S47">
        <v>0</v>
      </c>
      <c r="T47">
        <v>0</v>
      </c>
      <c r="U47" t="e">
        <f t="shared" si="3"/>
        <v>#N/A</v>
      </c>
    </row>
    <row r="48" spans="1:21" x14ac:dyDescent="0.25">
      <c r="A48" s="3">
        <v>10377115</v>
      </c>
      <c r="B48" s="4" t="s">
        <v>39</v>
      </c>
      <c r="C48" s="3">
        <v>30</v>
      </c>
      <c r="D48" s="8">
        <v>839.99200000000008</v>
      </c>
      <c r="E48" s="8">
        <f t="shared" si="0"/>
        <v>25199.760000000002</v>
      </c>
      <c r="F48" s="3" t="s">
        <v>124</v>
      </c>
      <c r="G48" s="5" t="s">
        <v>63</v>
      </c>
      <c r="H48" s="3">
        <v>10427171</v>
      </c>
      <c r="I48" s="3">
        <v>8801017504</v>
      </c>
      <c r="J48" s="3">
        <v>14</v>
      </c>
      <c r="K48" s="8">
        <v>167.994</v>
      </c>
      <c r="L48" s="8">
        <f t="shared" si="1"/>
        <v>2351.9160000000002</v>
      </c>
      <c r="M48" s="3" t="s">
        <v>89</v>
      </c>
      <c r="N48" s="13" t="s">
        <v>63</v>
      </c>
      <c r="O48">
        <f t="shared" si="2"/>
        <v>10427171</v>
      </c>
      <c r="P48" cm="1">
        <f t="array" ref="P48">_xlfn._xlws.FILTER(J48 - C:C, A:A = H48, "No match")</f>
        <v>-1</v>
      </c>
      <c r="Q48" s="12" cm="1">
        <f t="array" ref="Q48">_xlfn._xlws.FILTER(ABS((J48 - $C$1:$C$100) * K48), $A$1:$A$100 = H48, "No match")</f>
        <v>167.994</v>
      </c>
      <c r="R48" s="12" cm="1">
        <f t="array" ref="R48">_xlfn._xlws.FILTER(($E$1:$E$100-Q48), $A$1:$A$100 = H48, "No match")</f>
        <v>2351.9159999999997</v>
      </c>
      <c r="S48">
        <v>0</v>
      </c>
      <c r="T48">
        <v>0</v>
      </c>
      <c r="U48" t="e">
        <f t="shared" si="3"/>
        <v>#N/A</v>
      </c>
    </row>
    <row r="49" spans="1:21" x14ac:dyDescent="0.25">
      <c r="A49" s="3">
        <v>10377116</v>
      </c>
      <c r="B49" s="4" t="s">
        <v>40</v>
      </c>
      <c r="C49" s="3">
        <v>23</v>
      </c>
      <c r="D49" s="8">
        <v>839.99200000000008</v>
      </c>
      <c r="E49" s="8">
        <f t="shared" si="0"/>
        <v>19319.816000000003</v>
      </c>
      <c r="F49" s="3" t="s">
        <v>127</v>
      </c>
      <c r="G49" s="5" t="s">
        <v>63</v>
      </c>
      <c r="H49" s="3">
        <v>10427162</v>
      </c>
      <c r="I49" s="3">
        <v>8801017707</v>
      </c>
      <c r="J49" s="3">
        <v>18</v>
      </c>
      <c r="K49" s="8">
        <v>167.994</v>
      </c>
      <c r="L49" s="8">
        <f t="shared" si="1"/>
        <v>3023.8919999999998</v>
      </c>
      <c r="M49" s="3" t="s">
        <v>90</v>
      </c>
      <c r="N49" s="13" t="s">
        <v>63</v>
      </c>
      <c r="O49">
        <f t="shared" si="2"/>
        <v>10427162</v>
      </c>
      <c r="P49" cm="1">
        <f t="array" ref="P49">_xlfn._xlws.FILTER(J49 - C:C, A:A = H49, "No match")</f>
        <v>-4</v>
      </c>
      <c r="Q49" s="12" cm="1">
        <f t="array" ref="Q49">_xlfn._xlws.FILTER(ABS((J49 - $C$1:$C$100) * K49), $A$1:$A$100 = H49, "No match")</f>
        <v>671.976</v>
      </c>
      <c r="R49" s="12" cm="1">
        <f t="array" ref="R49">_xlfn._xlws.FILTER(($E$1:$E$100-Q49), $A$1:$A$100 = H49, "No match")</f>
        <v>3023.8919999999998</v>
      </c>
      <c r="S49">
        <v>0</v>
      </c>
      <c r="T49">
        <v>0</v>
      </c>
      <c r="U49" t="e">
        <f t="shared" si="3"/>
        <v>#N/A</v>
      </c>
    </row>
    <row r="50" spans="1:21" x14ac:dyDescent="0.25">
      <c r="A50" s="10">
        <v>10427184</v>
      </c>
      <c r="B50" s="4">
        <v>8801010511</v>
      </c>
      <c r="C50" s="3">
        <v>17</v>
      </c>
      <c r="D50" s="8">
        <v>167.994</v>
      </c>
      <c r="E50" s="8">
        <f t="shared" si="0"/>
        <v>2855.8980000000001</v>
      </c>
      <c r="F50" s="3" t="s">
        <v>76</v>
      </c>
      <c r="G50" s="5" t="s">
        <v>63</v>
      </c>
      <c r="H50" s="3">
        <v>10427173</v>
      </c>
      <c r="I50" s="3">
        <v>8801014008</v>
      </c>
      <c r="J50" s="3">
        <v>22</v>
      </c>
      <c r="K50" s="8">
        <v>167.994</v>
      </c>
      <c r="L50" s="8">
        <f t="shared" si="1"/>
        <v>3695.8679999999999</v>
      </c>
      <c r="M50" s="3" t="s">
        <v>91</v>
      </c>
      <c r="N50" s="13" t="s">
        <v>63</v>
      </c>
      <c r="O50">
        <f t="shared" si="2"/>
        <v>10427173</v>
      </c>
      <c r="P50" cm="1">
        <f t="array" ref="P50">_xlfn._xlws.FILTER(J50 - C:C, A:A = H50, "No match")</f>
        <v>-4</v>
      </c>
      <c r="Q50" s="12" cm="1">
        <f t="array" ref="Q50">_xlfn._xlws.FILTER(ABS((J50 - $C$1:$C$100) * K50), $A$1:$A$100 = H50, "No match")</f>
        <v>671.976</v>
      </c>
      <c r="R50" s="12" cm="1">
        <f t="array" ref="R50">_xlfn._xlws.FILTER(($E$1:$E$100-Q50), $A$1:$A$100 = H50, "No match")</f>
        <v>3695.8679999999999</v>
      </c>
      <c r="S50">
        <v>0</v>
      </c>
      <c r="T50">
        <v>0</v>
      </c>
      <c r="U50" t="e">
        <f t="shared" si="3"/>
        <v>#N/A</v>
      </c>
    </row>
    <row r="51" spans="1:21" x14ac:dyDescent="0.25">
      <c r="A51" s="10">
        <v>10427185</v>
      </c>
      <c r="B51" s="4">
        <v>8801010510</v>
      </c>
      <c r="C51" s="3">
        <v>10</v>
      </c>
      <c r="D51" s="8">
        <v>167.994</v>
      </c>
      <c r="E51" s="8">
        <f t="shared" si="0"/>
        <v>1679.94</v>
      </c>
      <c r="F51" s="3" t="s">
        <v>78</v>
      </c>
      <c r="G51" s="5" t="s">
        <v>63</v>
      </c>
      <c r="H51" s="3">
        <v>10377093</v>
      </c>
      <c r="I51" s="3" t="s">
        <v>29</v>
      </c>
      <c r="J51" s="3">
        <v>9</v>
      </c>
      <c r="K51" s="8">
        <v>839.99200000000008</v>
      </c>
      <c r="L51" s="8">
        <f t="shared" si="1"/>
        <v>7559.9280000000008</v>
      </c>
      <c r="M51" s="3" t="s">
        <v>143</v>
      </c>
      <c r="N51" s="13" t="s">
        <v>63</v>
      </c>
      <c r="O51">
        <f t="shared" si="2"/>
        <v>10377093</v>
      </c>
      <c r="P51" cm="1">
        <f t="array" ref="P51">_xlfn._xlws.FILTER(J51 - C:C, A:A = H51, "No match")</f>
        <v>0</v>
      </c>
      <c r="Q51" s="12" cm="1">
        <f t="array" ref="Q51">_xlfn._xlws.FILTER(ABS((J51 - $C$1:$C$100) * K51), $A$1:$A$100 = H51, "No match")</f>
        <v>0</v>
      </c>
      <c r="R51" s="12" cm="1">
        <f t="array" ref="R51">_xlfn._xlws.FILTER(($E$1:$E$100-Q51), $A$1:$A$100 = H51, "No match")</f>
        <v>7559.9280000000008</v>
      </c>
    </row>
    <row r="52" spans="1:21" x14ac:dyDescent="0.25">
      <c r="A52" s="10">
        <v>10427186</v>
      </c>
      <c r="B52" s="4">
        <v>8801010509</v>
      </c>
      <c r="C52" s="3">
        <v>11</v>
      </c>
      <c r="D52" s="8">
        <v>167.994</v>
      </c>
      <c r="E52" s="8">
        <f t="shared" si="0"/>
        <v>1847.934</v>
      </c>
      <c r="F52" s="3" t="s">
        <v>92</v>
      </c>
      <c r="G52" s="5" t="s">
        <v>63</v>
      </c>
      <c r="H52" s="3">
        <v>10427575</v>
      </c>
      <c r="I52" s="3">
        <v>8980210107</v>
      </c>
      <c r="J52" s="3">
        <v>21</v>
      </c>
      <c r="K52" s="8">
        <v>149.49350000000001</v>
      </c>
      <c r="L52" s="8">
        <f t="shared" si="1"/>
        <v>3139.3635000000004</v>
      </c>
      <c r="M52" s="3" t="s">
        <v>120</v>
      </c>
      <c r="N52" s="13" t="s">
        <v>63</v>
      </c>
      <c r="O52">
        <f t="shared" si="2"/>
        <v>10427575</v>
      </c>
      <c r="P52" cm="1">
        <f t="array" ref="P52">_xlfn._xlws.FILTER(J52 - C:C, A:A = H52, "No match")</f>
        <v>-1</v>
      </c>
      <c r="Q52" s="12" cm="1">
        <f t="array" ref="Q52">_xlfn._xlws.FILTER(ABS((J52 - $C$1:$C$100) * K52), $A$1:$A$100 = H52, "No match")</f>
        <v>149.49350000000001</v>
      </c>
      <c r="R52" s="12" cm="1">
        <f t="array" ref="R52">_xlfn._xlws.FILTER(($E$1:$E$100-Q52), $A$1:$A$100 = H52, "No match")</f>
        <v>3139.3635000000004</v>
      </c>
    </row>
    <row r="53" spans="1:21" x14ac:dyDescent="0.25">
      <c r="A53" s="10">
        <v>10427187</v>
      </c>
      <c r="B53" s="4">
        <v>8801010508</v>
      </c>
      <c r="C53" s="3">
        <v>10</v>
      </c>
      <c r="D53" s="8">
        <v>167.994</v>
      </c>
      <c r="E53" s="8">
        <f t="shared" si="0"/>
        <v>1679.94</v>
      </c>
      <c r="F53" s="3" t="s">
        <v>79</v>
      </c>
      <c r="G53" s="5" t="s">
        <v>63</v>
      </c>
      <c r="H53">
        <v>10353748</v>
      </c>
      <c r="I53">
        <v>396095</v>
      </c>
      <c r="J53" s="3">
        <v>5</v>
      </c>
      <c r="K53" s="9">
        <v>559.99200000000008</v>
      </c>
      <c r="L53" s="9">
        <f t="shared" si="1"/>
        <v>2799.9600000000005</v>
      </c>
      <c r="M53" t="s">
        <v>70</v>
      </c>
      <c r="N53" s="13" t="s">
        <v>63</v>
      </c>
      <c r="O53" t="str">
        <f>IFERROR(INDEX(A:A, MATCH(H53, A:A, 0)), "No Match")</f>
        <v>No Match</v>
      </c>
      <c r="P53" t="str" cm="1">
        <f t="array" ref="P53">_xlfn._xlws.FILTER(J53 - C:C, A:A = H53, "No match")</f>
        <v>No match</v>
      </c>
      <c r="Q53" s="2" t="str" cm="1">
        <f t="array" ref="Q53">_xlfn._xlws.FILTER(ABS((J53 - $C$1:$C$100) * K53), $A$1:$A$100 = H53, "No match")</f>
        <v>No match</v>
      </c>
      <c r="R53" s="12" t="str" cm="1">
        <f t="array" ref="R53">_xlfn._xlws.FILTER(($E$1:$E$100-Q53), $A$1:$A$100 = H53, "No match")</f>
        <v>No match</v>
      </c>
    </row>
    <row r="54" spans="1:21" x14ac:dyDescent="0.25">
      <c r="A54" s="10">
        <v>10427188</v>
      </c>
      <c r="B54" s="4">
        <v>8801010507</v>
      </c>
      <c r="C54" s="3">
        <v>15</v>
      </c>
      <c r="D54" s="8">
        <v>167.994</v>
      </c>
      <c r="E54" s="8">
        <f t="shared" si="0"/>
        <v>2519.91</v>
      </c>
      <c r="F54" s="3" t="s">
        <v>85</v>
      </c>
      <c r="G54" s="5" t="s">
        <v>63</v>
      </c>
      <c r="H54">
        <v>10353749</v>
      </c>
      <c r="I54">
        <v>396094</v>
      </c>
      <c r="J54" s="3">
        <v>3</v>
      </c>
      <c r="K54" s="9">
        <v>559.99200000000008</v>
      </c>
      <c r="L54" s="9">
        <f t="shared" si="1"/>
        <v>1679.9760000000001</v>
      </c>
      <c r="M54" t="s">
        <v>71</v>
      </c>
      <c r="N54" s="13" t="s">
        <v>63</v>
      </c>
      <c r="O54" t="str">
        <f t="shared" si="2"/>
        <v>No Match</v>
      </c>
      <c r="P54" t="str" cm="1">
        <f t="array" ref="P54">_xlfn._xlws.FILTER(J54 - C:C, A:A = H54, "No match")</f>
        <v>No match</v>
      </c>
      <c r="Q54" s="2" t="str" cm="1">
        <f t="array" ref="Q54">_xlfn._xlws.FILTER(ABS((J54 - $C$1:$C$100) * K54), $A$1:$A$100 = H54, "No match")</f>
        <v>No match</v>
      </c>
      <c r="R54" s="12" t="str" cm="1">
        <f t="array" ref="R54">_xlfn._xlws.FILTER(($E$1:$E$100-Q54), $A$1:$A$100 = H54, "No match")</f>
        <v>No match</v>
      </c>
    </row>
    <row r="55" spans="1:21" x14ac:dyDescent="0.25">
      <c r="A55" s="10">
        <v>10427189</v>
      </c>
      <c r="B55" s="4">
        <v>8801010506</v>
      </c>
      <c r="C55" s="3">
        <v>18</v>
      </c>
      <c r="D55" s="8">
        <v>167.994</v>
      </c>
      <c r="E55" s="8">
        <f t="shared" si="0"/>
        <v>3023.8919999999998</v>
      </c>
      <c r="F55" s="3" t="s">
        <v>88</v>
      </c>
      <c r="G55" s="5" t="s">
        <v>63</v>
      </c>
      <c r="H55">
        <v>10353750</v>
      </c>
      <c r="I55">
        <v>396093</v>
      </c>
      <c r="J55" s="3">
        <v>8</v>
      </c>
      <c r="K55" s="9">
        <v>559.99200000000008</v>
      </c>
      <c r="L55" s="9">
        <f t="shared" si="1"/>
        <v>4479.9360000000006</v>
      </c>
      <c r="M55" t="s">
        <v>72</v>
      </c>
      <c r="N55" s="13" t="s">
        <v>63</v>
      </c>
      <c r="O55" t="str">
        <f t="shared" si="2"/>
        <v>No Match</v>
      </c>
      <c r="P55" t="str" cm="1">
        <f t="array" ref="P55">_xlfn._xlws.FILTER(J55 - C:C, A:A = H55, "No match")</f>
        <v>No match</v>
      </c>
      <c r="Q55" s="2" t="str" cm="1">
        <f t="array" ref="Q55">_xlfn._xlws.FILTER(ABS((J55 - $C$1:$C$100) * K55), $A$1:$A$100 = H55, "No match")</f>
        <v>No match</v>
      </c>
      <c r="R55" s="12" t="str" cm="1">
        <f t="array" ref="R55">_xlfn._xlws.FILTER(($E$1:$E$100-Q55), $A$1:$A$100 = H55, "No match")</f>
        <v>No match</v>
      </c>
    </row>
    <row r="56" spans="1:21" x14ac:dyDescent="0.25">
      <c r="A56" s="3">
        <v>10427190</v>
      </c>
      <c r="B56" s="4">
        <v>8801010505</v>
      </c>
      <c r="C56" s="3">
        <v>25</v>
      </c>
      <c r="D56" s="8">
        <v>167.994</v>
      </c>
      <c r="E56" s="8">
        <f t="shared" si="0"/>
        <v>4199.8500000000004</v>
      </c>
      <c r="F56" s="3" t="s">
        <v>75</v>
      </c>
      <c r="G56" s="5" t="s">
        <v>63</v>
      </c>
      <c r="H56">
        <v>10353751</v>
      </c>
      <c r="I56">
        <v>396092</v>
      </c>
      <c r="J56" s="3">
        <v>1</v>
      </c>
      <c r="K56" s="9">
        <v>559.99200000000008</v>
      </c>
      <c r="L56" s="9">
        <f t="shared" si="1"/>
        <v>559.99200000000008</v>
      </c>
      <c r="M56" t="s">
        <v>73</v>
      </c>
      <c r="N56" s="13" t="s">
        <v>63</v>
      </c>
      <c r="O56" t="str">
        <f t="shared" si="2"/>
        <v>No Match</v>
      </c>
      <c r="P56" t="str" cm="1">
        <f t="array" ref="P56">_xlfn._xlws.FILTER(J56 - C:C, A:A = H56, "No match")</f>
        <v>No match</v>
      </c>
      <c r="Q56" s="2" t="str" cm="1">
        <f t="array" ref="Q56">_xlfn._xlws.FILTER(ABS((J56 - $C$1:$C$100) * K56), $A$1:$A$100 = H56, "No match")</f>
        <v>No match</v>
      </c>
      <c r="R56" s="12" t="str" cm="1">
        <f t="array" ref="R56">_xlfn._xlws.FILTER(($E$1:$E$100-Q56), $A$1:$A$100 = H56, "No match")</f>
        <v>No match</v>
      </c>
    </row>
    <row r="57" spans="1:21" x14ac:dyDescent="0.25">
      <c r="A57" s="3">
        <v>10427191</v>
      </c>
      <c r="B57" s="4">
        <v>8801010504</v>
      </c>
      <c r="C57" s="3">
        <v>19</v>
      </c>
      <c r="D57" s="8">
        <v>167.994</v>
      </c>
      <c r="E57" s="8">
        <f t="shared" si="0"/>
        <v>3191.886</v>
      </c>
      <c r="F57" s="3" t="s">
        <v>83</v>
      </c>
      <c r="G57" s="5" t="s">
        <v>63</v>
      </c>
      <c r="H57">
        <v>10353752</v>
      </c>
      <c r="I57">
        <v>396091</v>
      </c>
      <c r="J57" s="3">
        <v>2</v>
      </c>
      <c r="K57" s="9">
        <v>559.99200000000008</v>
      </c>
      <c r="L57" s="9">
        <f t="shared" si="1"/>
        <v>1119.9840000000002</v>
      </c>
      <c r="M57" t="s">
        <v>74</v>
      </c>
      <c r="N57" s="13" t="s">
        <v>63</v>
      </c>
      <c r="O57" t="str">
        <f t="shared" si="2"/>
        <v>No Match</v>
      </c>
      <c r="P57" t="str" cm="1">
        <f t="array" ref="P57">_xlfn._xlws.FILTER(J57 - C:C, A:A = H57, "No match")</f>
        <v>No match</v>
      </c>
      <c r="Q57" s="2" t="str" cm="1">
        <f t="array" ref="Q57">_xlfn._xlws.FILTER(ABS((J57 - $C$1:$C$100) * K57), $A$1:$A$100 = H57, "No match")</f>
        <v>No match</v>
      </c>
      <c r="R57" s="12" t="str" cm="1">
        <f t="array" ref="R57">_xlfn._xlws.FILTER(($E$1:$E$100-Q57), $A$1:$A$100 = H57, "No match")</f>
        <v>No match</v>
      </c>
    </row>
    <row r="58" spans="1:21" x14ac:dyDescent="0.25">
      <c r="A58" s="3">
        <v>10427166</v>
      </c>
      <c r="B58" s="4">
        <v>8801017509</v>
      </c>
      <c r="C58" s="3">
        <v>13</v>
      </c>
      <c r="D58" s="8">
        <v>167.994</v>
      </c>
      <c r="E58" s="8">
        <f t="shared" si="0"/>
        <v>2183.922</v>
      </c>
      <c r="F58" s="3" t="s">
        <v>93</v>
      </c>
      <c r="G58" s="5" t="s">
        <v>63</v>
      </c>
    </row>
    <row r="59" spans="1:21" x14ac:dyDescent="0.25">
      <c r="A59" s="3">
        <v>10427167</v>
      </c>
      <c r="B59" s="4">
        <v>8801017508</v>
      </c>
      <c r="C59" s="3">
        <v>19</v>
      </c>
      <c r="D59" s="8">
        <v>167.994</v>
      </c>
      <c r="E59" s="8">
        <f t="shared" si="0"/>
        <v>3191.886</v>
      </c>
      <c r="F59" s="3" t="s">
        <v>80</v>
      </c>
      <c r="G59" s="5" t="s">
        <v>63</v>
      </c>
    </row>
    <row r="60" spans="1:21" x14ac:dyDescent="0.25">
      <c r="A60" s="3">
        <v>10427168</v>
      </c>
      <c r="B60" s="4">
        <v>8801017507</v>
      </c>
      <c r="C60" s="3">
        <v>17</v>
      </c>
      <c r="D60" s="8">
        <v>167.994</v>
      </c>
      <c r="E60" s="8">
        <f t="shared" si="0"/>
        <v>2855.8980000000001</v>
      </c>
      <c r="F60" s="3" t="s">
        <v>94</v>
      </c>
      <c r="G60" s="5" t="s">
        <v>63</v>
      </c>
    </row>
    <row r="61" spans="1:21" x14ac:dyDescent="0.25">
      <c r="A61" s="3">
        <v>10427169</v>
      </c>
      <c r="B61" s="4">
        <v>8801017506</v>
      </c>
      <c r="C61" s="3">
        <v>20</v>
      </c>
      <c r="D61" s="8">
        <v>167.994</v>
      </c>
      <c r="E61" s="8">
        <f t="shared" si="0"/>
        <v>3359.88</v>
      </c>
      <c r="F61" s="3" t="s">
        <v>95</v>
      </c>
      <c r="G61" s="5" t="s">
        <v>63</v>
      </c>
    </row>
    <row r="62" spans="1:21" x14ac:dyDescent="0.25">
      <c r="A62" s="3">
        <v>10427170</v>
      </c>
      <c r="B62" s="4">
        <v>8801017505</v>
      </c>
      <c r="C62" s="3">
        <v>7</v>
      </c>
      <c r="D62" s="8">
        <v>167.994</v>
      </c>
      <c r="E62" s="8">
        <f t="shared" si="0"/>
        <v>1175.9580000000001</v>
      </c>
      <c r="F62" s="3" t="s">
        <v>84</v>
      </c>
      <c r="G62" s="5" t="s">
        <v>63</v>
      </c>
    </row>
    <row r="63" spans="1:21" x14ac:dyDescent="0.25">
      <c r="A63" s="3">
        <v>10427171</v>
      </c>
      <c r="B63" s="4">
        <v>8801017504</v>
      </c>
      <c r="C63" s="3">
        <v>15</v>
      </c>
      <c r="D63" s="8">
        <v>167.994</v>
      </c>
      <c r="E63" s="8">
        <f t="shared" si="0"/>
        <v>2519.91</v>
      </c>
      <c r="F63" s="3" t="s">
        <v>89</v>
      </c>
      <c r="G63" s="5" t="s">
        <v>63</v>
      </c>
    </row>
    <row r="64" spans="1:21" x14ac:dyDescent="0.25">
      <c r="A64" s="3">
        <v>10427160</v>
      </c>
      <c r="B64" s="4">
        <v>8801017709</v>
      </c>
      <c r="C64" s="3">
        <v>18</v>
      </c>
      <c r="D64" s="8">
        <v>167.994</v>
      </c>
      <c r="E64" s="8">
        <f t="shared" si="0"/>
        <v>3023.8919999999998</v>
      </c>
      <c r="F64" s="3" t="s">
        <v>82</v>
      </c>
      <c r="G64" s="5" t="s">
        <v>63</v>
      </c>
    </row>
    <row r="65" spans="1:7" x14ac:dyDescent="0.25">
      <c r="A65" s="3">
        <v>10427161</v>
      </c>
      <c r="B65" s="4">
        <v>8801017708</v>
      </c>
      <c r="C65" s="3">
        <v>15</v>
      </c>
      <c r="D65" s="8">
        <v>167.994</v>
      </c>
      <c r="E65" s="8">
        <f t="shared" si="0"/>
        <v>2519.91</v>
      </c>
      <c r="F65" s="3" t="s">
        <v>77</v>
      </c>
      <c r="G65" s="5" t="s">
        <v>63</v>
      </c>
    </row>
    <row r="66" spans="1:7" x14ac:dyDescent="0.25">
      <c r="A66" s="3">
        <v>10427162</v>
      </c>
      <c r="B66" s="4">
        <v>8801017707</v>
      </c>
      <c r="C66" s="3">
        <v>22</v>
      </c>
      <c r="D66" s="8">
        <v>167.994</v>
      </c>
      <c r="E66" s="8">
        <f t="shared" si="0"/>
        <v>3695.8679999999999</v>
      </c>
      <c r="F66" s="3" t="s">
        <v>90</v>
      </c>
      <c r="G66" s="5" t="s">
        <v>63</v>
      </c>
    </row>
    <row r="67" spans="1:7" x14ac:dyDescent="0.25">
      <c r="A67" s="3">
        <v>10427163</v>
      </c>
      <c r="B67" s="4">
        <v>2365687</v>
      </c>
      <c r="C67" s="3">
        <v>19</v>
      </c>
      <c r="D67" s="8">
        <v>167.994</v>
      </c>
      <c r="E67" s="8">
        <f t="shared" si="0"/>
        <v>3191.886</v>
      </c>
      <c r="F67" s="3" t="s">
        <v>87</v>
      </c>
      <c r="G67" s="5" t="s">
        <v>63</v>
      </c>
    </row>
    <row r="68" spans="1:7" x14ac:dyDescent="0.25">
      <c r="A68" s="3">
        <v>10427164</v>
      </c>
      <c r="B68" s="4">
        <v>8801017705</v>
      </c>
      <c r="C68" s="3">
        <v>14</v>
      </c>
      <c r="D68" s="8">
        <v>167.994</v>
      </c>
      <c r="E68" s="8">
        <f t="shared" ref="E68:E81" si="5">D68*C68</f>
        <v>2351.9160000000002</v>
      </c>
      <c r="F68" s="3" t="s">
        <v>81</v>
      </c>
      <c r="G68" s="5" t="s">
        <v>63</v>
      </c>
    </row>
    <row r="69" spans="1:7" x14ac:dyDescent="0.25">
      <c r="A69" s="3">
        <v>10427165</v>
      </c>
      <c r="B69" s="4">
        <v>8801017704</v>
      </c>
      <c r="C69" s="3">
        <v>10</v>
      </c>
      <c r="D69" s="8">
        <v>167.994</v>
      </c>
      <c r="E69" s="8">
        <f t="shared" si="5"/>
        <v>1679.94</v>
      </c>
      <c r="F69" s="3" t="s">
        <v>86</v>
      </c>
      <c r="G69" s="5" t="s">
        <v>63</v>
      </c>
    </row>
    <row r="70" spans="1:7" x14ac:dyDescent="0.25">
      <c r="A70" s="3">
        <v>10427178</v>
      </c>
      <c r="B70" s="4">
        <v>8801010809</v>
      </c>
      <c r="C70" s="3">
        <v>24</v>
      </c>
      <c r="D70" s="8">
        <v>167.994</v>
      </c>
      <c r="E70" s="8">
        <f t="shared" si="5"/>
        <v>4031.8559999999998</v>
      </c>
      <c r="F70" s="3" t="s">
        <v>96</v>
      </c>
      <c r="G70" s="5" t="s">
        <v>63</v>
      </c>
    </row>
    <row r="71" spans="1:7" x14ac:dyDescent="0.25">
      <c r="A71" s="3">
        <v>10427179</v>
      </c>
      <c r="B71" s="4">
        <v>8801010808</v>
      </c>
      <c r="C71" s="3">
        <v>16</v>
      </c>
      <c r="D71" s="8">
        <v>167.994</v>
      </c>
      <c r="E71" s="8">
        <f t="shared" si="5"/>
        <v>2687.904</v>
      </c>
      <c r="F71" s="3" t="s">
        <v>97</v>
      </c>
      <c r="G71" s="5" t="s">
        <v>63</v>
      </c>
    </row>
    <row r="72" spans="1:7" x14ac:dyDescent="0.25">
      <c r="A72" s="3">
        <v>10427180</v>
      </c>
      <c r="B72" s="4">
        <v>8801010807</v>
      </c>
      <c r="C72" s="3">
        <v>8</v>
      </c>
      <c r="D72" s="8">
        <v>167.994</v>
      </c>
      <c r="E72" s="8">
        <f t="shared" si="5"/>
        <v>1343.952</v>
      </c>
      <c r="F72" s="3" t="s">
        <v>98</v>
      </c>
      <c r="G72" s="5" t="s">
        <v>63</v>
      </c>
    </row>
    <row r="73" spans="1:7" x14ac:dyDescent="0.25">
      <c r="A73" s="3">
        <v>10427181</v>
      </c>
      <c r="B73" s="4">
        <v>8801010806</v>
      </c>
      <c r="C73" s="3">
        <v>25</v>
      </c>
      <c r="D73" s="8">
        <v>167.994</v>
      </c>
      <c r="E73" s="8">
        <f t="shared" si="5"/>
        <v>4199.8500000000004</v>
      </c>
      <c r="F73" s="3" t="s">
        <v>99</v>
      </c>
      <c r="G73" s="5" t="s">
        <v>63</v>
      </c>
    </row>
    <row r="74" spans="1:7" x14ac:dyDescent="0.25">
      <c r="A74" s="3">
        <v>10427182</v>
      </c>
      <c r="B74" s="4">
        <v>8801010805</v>
      </c>
      <c r="C74" s="3">
        <v>7</v>
      </c>
      <c r="D74" s="8">
        <v>167.994</v>
      </c>
      <c r="E74" s="8">
        <f t="shared" si="5"/>
        <v>1175.9580000000001</v>
      </c>
      <c r="F74" s="3" t="s">
        <v>100</v>
      </c>
      <c r="G74" s="5" t="s">
        <v>63</v>
      </c>
    </row>
    <row r="75" spans="1:7" x14ac:dyDescent="0.25">
      <c r="A75" s="3">
        <v>10427183</v>
      </c>
      <c r="B75" s="4">
        <v>8801010804</v>
      </c>
      <c r="C75" s="3">
        <v>10</v>
      </c>
      <c r="D75" s="8">
        <v>167.994</v>
      </c>
      <c r="E75" s="8">
        <f t="shared" si="5"/>
        <v>1679.94</v>
      </c>
      <c r="F75" s="3" t="s">
        <v>101</v>
      </c>
      <c r="G75" s="5" t="s">
        <v>63</v>
      </c>
    </row>
    <row r="76" spans="1:7" x14ac:dyDescent="0.25">
      <c r="A76" s="3">
        <v>10427172</v>
      </c>
      <c r="B76" s="4">
        <v>8801014009</v>
      </c>
      <c r="C76" s="3">
        <v>10</v>
      </c>
      <c r="D76" s="8">
        <v>167.994</v>
      </c>
      <c r="E76" s="8">
        <f t="shared" si="5"/>
        <v>1679.94</v>
      </c>
      <c r="F76" s="3" t="s">
        <v>102</v>
      </c>
      <c r="G76" s="5" t="s">
        <v>63</v>
      </c>
    </row>
    <row r="77" spans="1:7" x14ac:dyDescent="0.25">
      <c r="A77" s="3">
        <v>10427173</v>
      </c>
      <c r="B77" s="4">
        <v>8801014008</v>
      </c>
      <c r="C77" s="3">
        <v>26</v>
      </c>
      <c r="D77" s="8">
        <v>167.994</v>
      </c>
      <c r="E77" s="8">
        <f t="shared" si="5"/>
        <v>4367.8440000000001</v>
      </c>
      <c r="F77" s="3" t="s">
        <v>91</v>
      </c>
      <c r="G77" s="5" t="s">
        <v>63</v>
      </c>
    </row>
    <row r="78" spans="1:7" x14ac:dyDescent="0.25">
      <c r="A78" s="3">
        <v>10427174</v>
      </c>
      <c r="B78" s="4">
        <v>8801014007</v>
      </c>
      <c r="C78" s="3">
        <v>30</v>
      </c>
      <c r="D78" s="8">
        <v>167.994</v>
      </c>
      <c r="E78" s="8">
        <f t="shared" si="5"/>
        <v>5039.82</v>
      </c>
      <c r="F78" s="3" t="s">
        <v>103</v>
      </c>
      <c r="G78" s="5" t="s">
        <v>63</v>
      </c>
    </row>
    <row r="79" spans="1:7" x14ac:dyDescent="0.25">
      <c r="A79" s="3">
        <v>10427175</v>
      </c>
      <c r="B79" s="4">
        <v>8801014006</v>
      </c>
      <c r="C79" s="3">
        <v>24</v>
      </c>
      <c r="D79" s="8">
        <v>167.994</v>
      </c>
      <c r="E79" s="8">
        <f t="shared" si="5"/>
        <v>4031.8559999999998</v>
      </c>
      <c r="F79" s="3" t="s">
        <v>104</v>
      </c>
      <c r="G79" s="5" t="s">
        <v>63</v>
      </c>
    </row>
    <row r="80" spans="1:7" x14ac:dyDescent="0.25">
      <c r="A80" s="3">
        <v>10427176</v>
      </c>
      <c r="B80" s="4">
        <v>8801014005</v>
      </c>
      <c r="C80" s="3">
        <v>20</v>
      </c>
      <c r="D80" s="8">
        <v>167.994</v>
      </c>
      <c r="E80" s="8">
        <f t="shared" si="5"/>
        <v>3359.88</v>
      </c>
      <c r="F80" s="3" t="s">
        <v>105</v>
      </c>
      <c r="G80" s="5" t="s">
        <v>63</v>
      </c>
    </row>
    <row r="81" spans="1:7" x14ac:dyDescent="0.25">
      <c r="A81" s="3">
        <v>10427177</v>
      </c>
      <c r="B81" s="4">
        <v>8801014004</v>
      </c>
      <c r="C81" s="3">
        <v>12</v>
      </c>
      <c r="D81" s="8">
        <v>167.994</v>
      </c>
      <c r="E81" s="8">
        <f t="shared" si="5"/>
        <v>2015.9279999999999</v>
      </c>
      <c r="F81" s="3" t="s">
        <v>106</v>
      </c>
      <c r="G81" s="5" t="s">
        <v>63</v>
      </c>
    </row>
  </sheetData>
  <mergeCells count="17">
    <mergeCell ref="X20:AA21"/>
    <mergeCell ref="X22:AA23"/>
    <mergeCell ref="X24:AA25"/>
    <mergeCell ref="X26:AA27"/>
    <mergeCell ref="X8:AA9"/>
    <mergeCell ref="X11:AA12"/>
    <mergeCell ref="X13:AA14"/>
    <mergeCell ref="X15:AA16"/>
    <mergeCell ref="X17:AA18"/>
    <mergeCell ref="X2:AA3"/>
    <mergeCell ref="X6:AA7"/>
    <mergeCell ref="W1:AB1"/>
    <mergeCell ref="X4:AA5"/>
    <mergeCell ref="A1:G1"/>
    <mergeCell ref="H1:N1"/>
    <mergeCell ref="O1:R1"/>
    <mergeCell ref="S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4DB5-B61E-4A10-A07D-6D96BB151119}">
  <dimension ref="A1:X4"/>
  <sheetViews>
    <sheetView workbookViewId="0">
      <selection activeCell="X2" sqref="X2"/>
    </sheetView>
  </sheetViews>
  <sheetFormatPr defaultRowHeight="15" x14ac:dyDescent="0.25"/>
  <cols>
    <col min="2" max="2" width="11" bestFit="1" customWidth="1"/>
    <col min="7" max="7" width="13.7109375" bestFit="1" customWidth="1"/>
    <col min="8" max="8" width="9" bestFit="1" customWidth="1"/>
    <col min="10" max="10" width="11" bestFit="1" customWidth="1"/>
    <col min="22" max="22" width="11" bestFit="1" customWidth="1"/>
  </cols>
  <sheetData>
    <row r="1" spans="1:24" ht="31.5" x14ac:dyDescent="0.5">
      <c r="A1" s="61" t="s">
        <v>0</v>
      </c>
      <c r="B1" s="61"/>
      <c r="C1" s="61"/>
      <c r="D1" s="61"/>
      <c r="E1" s="61"/>
      <c r="F1" s="61"/>
      <c r="G1" s="61"/>
      <c r="H1" s="61" t="s">
        <v>41</v>
      </c>
      <c r="I1" s="61"/>
      <c r="J1" s="61"/>
      <c r="K1" s="61"/>
      <c r="L1" s="61"/>
      <c r="M1" s="61"/>
      <c r="N1" s="61"/>
      <c r="O1" s="61" t="s">
        <v>42</v>
      </c>
      <c r="P1" s="61"/>
      <c r="Q1" s="61"/>
      <c r="R1" s="61"/>
      <c r="S1" s="61"/>
      <c r="T1" s="61"/>
      <c r="U1" s="61"/>
    </row>
    <row r="2" spans="1:24" x14ac:dyDescent="0.25">
      <c r="A2" s="3" t="s">
        <v>1</v>
      </c>
      <c r="B2" s="4" t="s">
        <v>15</v>
      </c>
      <c r="C2" s="3" t="s">
        <v>2</v>
      </c>
      <c r="D2" s="8" t="s">
        <v>3</v>
      </c>
      <c r="E2" s="8" t="s">
        <v>4</v>
      </c>
      <c r="F2" s="3" t="s">
        <v>7</v>
      </c>
      <c r="G2" s="5" t="s">
        <v>5</v>
      </c>
      <c r="H2" s="3" t="s">
        <v>1</v>
      </c>
      <c r="I2" s="3" t="s">
        <v>15</v>
      </c>
      <c r="J2" s="3" t="s">
        <v>2</v>
      </c>
      <c r="K2" s="8" t="s">
        <v>3</v>
      </c>
      <c r="L2" s="8" t="s">
        <v>4</v>
      </c>
      <c r="M2" s="3" t="s">
        <v>7</v>
      </c>
      <c r="N2" s="3" t="s">
        <v>5</v>
      </c>
      <c r="O2" s="3" t="s">
        <v>1</v>
      </c>
      <c r="P2" s="3" t="s">
        <v>43</v>
      </c>
      <c r="Q2" s="3" t="s">
        <v>2</v>
      </c>
      <c r="R2" s="3" t="s">
        <v>3</v>
      </c>
      <c r="S2" s="3" t="s">
        <v>4</v>
      </c>
      <c r="T2" s="3" t="s">
        <v>7</v>
      </c>
      <c r="U2" s="3" t="s">
        <v>5</v>
      </c>
      <c r="X2" cm="1">
        <f t="array" ref="X2">_xlfn._xlws.FILTER(J:J - C:C, A:A = H3)</f>
        <v>-3</v>
      </c>
    </row>
    <row r="3" spans="1:24" x14ac:dyDescent="0.25">
      <c r="A3" s="3">
        <v>10427570</v>
      </c>
      <c r="B3" s="3">
        <v>8980210507</v>
      </c>
      <c r="C3" s="3">
        <v>6</v>
      </c>
      <c r="D3" s="8">
        <v>149.49350000000001</v>
      </c>
      <c r="E3" s="8">
        <f>C3*D3</f>
        <v>896.96100000000001</v>
      </c>
      <c r="F3" s="3" t="s">
        <v>16</v>
      </c>
      <c r="G3" s="3" t="s">
        <v>6</v>
      </c>
      <c r="H3" s="3">
        <v>10427570</v>
      </c>
      <c r="I3" s="3">
        <v>8980210507</v>
      </c>
      <c r="J3" s="3">
        <v>3</v>
      </c>
      <c r="K3" s="8">
        <v>149.49350000000001</v>
      </c>
      <c r="L3" s="8">
        <f>J3*K3</f>
        <v>448.48050000000001</v>
      </c>
      <c r="M3" s="3" t="s">
        <v>16</v>
      </c>
      <c r="N3" s="3" t="s">
        <v>6</v>
      </c>
      <c r="O3">
        <f>INDEX(A:A, MATCH(H3, A:A, 0))</f>
        <v>10427570</v>
      </c>
      <c r="P3" cm="1">
        <f t="array" ref="P3">_xlfn._xlws.FILTER(J:J - C:C, A:A = H3)</f>
        <v>-3</v>
      </c>
    </row>
    <row r="4" spans="1:24" x14ac:dyDescent="0.25">
      <c r="A4" s="3">
        <v>1042751</v>
      </c>
      <c r="B4" s="3">
        <v>8980210507</v>
      </c>
      <c r="C4" s="3">
        <v>6</v>
      </c>
      <c r="D4" s="8">
        <v>149.49350000000001</v>
      </c>
      <c r="E4" s="8">
        <f>C4*D4</f>
        <v>896.96100000000001</v>
      </c>
      <c r="F4" s="3" t="s">
        <v>16</v>
      </c>
      <c r="G4" s="3" t="s">
        <v>6</v>
      </c>
      <c r="H4" s="3">
        <v>10427570</v>
      </c>
      <c r="I4" s="3">
        <v>8980210507</v>
      </c>
    </row>
  </sheetData>
  <mergeCells count="3">
    <mergeCell ref="A1:G1"/>
    <mergeCell ref="H1:N1"/>
    <mergeCell ref="O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23F3-0E33-4158-9845-6442F9E817C8}">
  <dimension ref="A1:L5"/>
  <sheetViews>
    <sheetView workbookViewId="0">
      <selection activeCell="L1" sqref="L1:L5"/>
    </sheetView>
  </sheetViews>
  <sheetFormatPr defaultRowHeight="15" x14ac:dyDescent="0.25"/>
  <cols>
    <col min="2" max="2" width="9" bestFit="1" customWidth="1"/>
    <col min="3" max="3" width="24.85546875" bestFit="1" customWidth="1"/>
    <col min="4" max="4" width="7" bestFit="1" customWidth="1"/>
    <col min="5" max="5" width="30.85546875" bestFit="1" customWidth="1"/>
  </cols>
  <sheetData>
    <row r="1" spans="1:12" x14ac:dyDescent="0.25">
      <c r="A1" t="s">
        <v>47</v>
      </c>
      <c r="B1">
        <v>10353748</v>
      </c>
      <c r="C1" t="s">
        <v>54</v>
      </c>
      <c r="D1">
        <v>396095</v>
      </c>
      <c r="E1" t="s">
        <v>48</v>
      </c>
      <c r="F1">
        <v>699.99</v>
      </c>
      <c r="G1" t="str">
        <f>C1&amp;" "&amp;A1</f>
        <v>HJC RPHA 1N Joker Helmet 2XL / Purple/Green/White</v>
      </c>
      <c r="L1">
        <f>F1*0.8</f>
        <v>559.99200000000008</v>
      </c>
    </row>
    <row r="2" spans="1:12" x14ac:dyDescent="0.25">
      <c r="A2" t="s">
        <v>49</v>
      </c>
      <c r="B2">
        <v>10353749</v>
      </c>
      <c r="C2" t="s">
        <v>54</v>
      </c>
      <c r="D2">
        <v>396094</v>
      </c>
      <c r="E2" t="s">
        <v>11</v>
      </c>
      <c r="F2">
        <v>699.99</v>
      </c>
      <c r="G2" t="str">
        <f t="shared" ref="G2:G5" si="0">C2&amp;" "&amp;A2</f>
        <v>HJC RPHA 1N Joker Helmet XL / Purple/Green/White</v>
      </c>
      <c r="L2">
        <f t="shared" ref="L2:L5" si="1">F2*0.8</f>
        <v>559.99200000000008</v>
      </c>
    </row>
    <row r="3" spans="1:12" x14ac:dyDescent="0.25">
      <c r="A3" t="s">
        <v>50</v>
      </c>
      <c r="B3">
        <v>10353750</v>
      </c>
      <c r="C3" t="s">
        <v>54</v>
      </c>
      <c r="D3">
        <v>396093</v>
      </c>
      <c r="E3" t="s">
        <v>11</v>
      </c>
      <c r="F3">
        <v>699.99</v>
      </c>
      <c r="G3" t="str">
        <f t="shared" si="0"/>
        <v>HJC RPHA 1N Joker Helmet LG / Purple/Green/White</v>
      </c>
      <c r="L3">
        <f t="shared" si="1"/>
        <v>559.99200000000008</v>
      </c>
    </row>
    <row r="4" spans="1:12" x14ac:dyDescent="0.25">
      <c r="A4" t="s">
        <v>51</v>
      </c>
      <c r="B4">
        <v>10353751</v>
      </c>
      <c r="C4" t="s">
        <v>54</v>
      </c>
      <c r="D4">
        <v>396092</v>
      </c>
      <c r="E4" t="s">
        <v>11</v>
      </c>
      <c r="F4">
        <v>699.99</v>
      </c>
      <c r="G4" t="str">
        <f t="shared" si="0"/>
        <v>HJC RPHA 1N Joker Helmet MD / Purple/Green/White</v>
      </c>
      <c r="L4">
        <f t="shared" si="1"/>
        <v>559.99200000000008</v>
      </c>
    </row>
    <row r="5" spans="1:12" x14ac:dyDescent="0.25">
      <c r="A5" t="s">
        <v>52</v>
      </c>
      <c r="B5">
        <v>10353752</v>
      </c>
      <c r="C5" t="s">
        <v>54</v>
      </c>
      <c r="D5">
        <v>396091</v>
      </c>
      <c r="E5" t="s">
        <v>53</v>
      </c>
      <c r="F5">
        <v>699.99</v>
      </c>
      <c r="G5" t="str">
        <f t="shared" si="0"/>
        <v>HJC RPHA 1N Joker Helmet SM / Purple/Green/White</v>
      </c>
      <c r="L5">
        <f t="shared" si="1"/>
        <v>559.99200000000008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Hao Dong</cp:lastModifiedBy>
  <dcterms:created xsi:type="dcterms:W3CDTF">2015-06-05T18:17:20Z</dcterms:created>
  <dcterms:modified xsi:type="dcterms:W3CDTF">2025-11-04T03:54:52Z</dcterms:modified>
</cp:coreProperties>
</file>