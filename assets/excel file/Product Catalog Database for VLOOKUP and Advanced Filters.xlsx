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o\Desktop\Hao Dong io\haodong191.github.io\assets\excel file\"/>
    </mc:Choice>
  </mc:AlternateContent>
  <xr:revisionPtr revIDLastSave="0" documentId="13_ncr:1_{F179D025-5F46-41B8-AB9E-CDB0CDCE8863}" xr6:coauthVersionLast="47" xr6:coauthVersionMax="47" xr10:uidLastSave="{00000000-0000-0000-0000-000000000000}"/>
  <bookViews>
    <workbookView xWindow="-120" yWindow="-120" windowWidth="38640" windowHeight="21240" activeTab="2" xr2:uid="{3DA30817-AB17-418F-A166-367311C102B0}"/>
  </bookViews>
  <sheets>
    <sheet name="Product Catalog Database.csv" sheetId="1" r:id="rId1"/>
    <sheet name="Sheet1" sheetId="2" r:id="rId2"/>
    <sheet name="Sheet2" sheetId="3" r:id="rId3"/>
  </sheets>
  <definedNames>
    <definedName name="_xlnm._FilterDatabase" localSheetId="0" hidden="1">'Product Catalog Database.csv'!$C$1:$J$98</definedName>
    <definedName name="_xlnm._FilterDatabase" localSheetId="1" hidden="1">Sheet1!$A$5:$J$102</definedName>
    <definedName name="_xlnm.Criteria" localSheetId="0">'Product Catalog Database.csv'!#REF!</definedName>
    <definedName name="_xlnm.Criteria" localSheetId="1">Sheet1!$A$1:$J$2</definedName>
    <definedName name="_xlnm.Extract" localSheetId="0">'Product Catalog Database.csv'!#REF!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3" l="1" a="1"/>
  <c r="L6" i="3" s="1"/>
  <c r="P4" i="1"/>
  <c r="R4" i="1" s="1"/>
  <c r="P5" i="1"/>
  <c r="R5" i="1" s="1"/>
  <c r="P6" i="1"/>
  <c r="R6" i="1" s="1"/>
  <c r="P7" i="1"/>
  <c r="R7" i="1" s="1"/>
  <c r="P3" i="1"/>
  <c r="R3" i="1" s="1"/>
  <c r="O4" i="1"/>
  <c r="O5" i="1"/>
  <c r="O6" i="1"/>
  <c r="O7" i="1"/>
  <c r="O3" i="1"/>
  <c r="N4" i="1"/>
  <c r="N5" i="1"/>
  <c r="N6" i="1"/>
  <c r="N7" i="1"/>
  <c r="N3" i="1"/>
  <c r="M4" i="1"/>
  <c r="M5" i="1"/>
  <c r="M6" i="1"/>
  <c r="M7" i="1"/>
  <c r="M3" i="1"/>
  <c r="R10" i="1" l="1"/>
  <c r="R1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<sst xmlns="http://schemas.openxmlformats.org/spreadsheetml/2006/main" count="1818" uniqueCount="291">
  <si>
    <t>Vendor Part Number</t>
  </si>
  <si>
    <t>UPC</t>
  </si>
  <si>
    <t>Product Name</t>
  </si>
  <si>
    <t>Category</t>
  </si>
  <si>
    <t>Sub-Category</t>
  </si>
  <si>
    <t>Size</t>
  </si>
  <si>
    <t>Inventory</t>
  </si>
  <si>
    <t>Vendor</t>
  </si>
  <si>
    <t xml:space="preserve"> Price </t>
  </si>
  <si>
    <t>ETA</t>
  </si>
  <si>
    <t>1234-001</t>
  </si>
  <si>
    <t>Stapler</t>
  </si>
  <si>
    <t>Office Supply</t>
  </si>
  <si>
    <t>Desk Accessory</t>
  </si>
  <si>
    <t>1 unit</t>
  </si>
  <si>
    <t>Office Supply Co</t>
  </si>
  <si>
    <t>1234-002</t>
  </si>
  <si>
    <t>Organic Bananas</t>
  </si>
  <si>
    <t>Food Product</t>
  </si>
  <si>
    <t>Fruit</t>
  </si>
  <si>
    <t>1 lb</t>
  </si>
  <si>
    <t>Coscto Wholesale</t>
  </si>
  <si>
    <t>1234-003</t>
  </si>
  <si>
    <t>Printer Paper</t>
  </si>
  <si>
    <t>Paper</t>
  </si>
  <si>
    <t>500 sheets</t>
  </si>
  <si>
    <t>1234-004</t>
  </si>
  <si>
    <t>Desk Organizer</t>
  </si>
  <si>
    <t>12 x 8 x 5 in</t>
  </si>
  <si>
    <t>1234-005</t>
  </si>
  <si>
    <t>Gala Apples</t>
  </si>
  <si>
    <t>1234-006</t>
  </si>
  <si>
    <t>Brown Rice</t>
  </si>
  <si>
    <t>Grain</t>
  </si>
  <si>
    <t>2 lb</t>
  </si>
  <si>
    <t>1234-007</t>
  </si>
  <si>
    <t>Paper Clips</t>
  </si>
  <si>
    <t>Stationery</t>
  </si>
  <si>
    <t>100 pieces</t>
  </si>
  <si>
    <t>1234-008</t>
  </si>
  <si>
    <t>Sticky Notes</t>
  </si>
  <si>
    <t>3 x 3 in, 50 sheets</t>
  </si>
  <si>
    <t>1234-009</t>
  </si>
  <si>
    <t>Chicken Breast</t>
  </si>
  <si>
    <t>Meat</t>
  </si>
  <si>
    <t>1234-010</t>
  </si>
  <si>
    <t>Filing Cabinet</t>
  </si>
  <si>
    <t>Furniture</t>
  </si>
  <si>
    <t>3 drawers</t>
  </si>
  <si>
    <t>1234-011</t>
  </si>
  <si>
    <t>Fresh Strawberries</t>
  </si>
  <si>
    <t>1234-012</t>
  </si>
  <si>
    <t>Binder Clips</t>
  </si>
  <si>
    <t>12 pieces</t>
  </si>
  <si>
    <t>1234-013</t>
  </si>
  <si>
    <t>Desk Lamp</t>
  </si>
  <si>
    <t>Lighting</t>
  </si>
  <si>
    <t>15 x 6 x 6 in</t>
  </si>
  <si>
    <t>1234-014</t>
  </si>
  <si>
    <t>Ground Coffee</t>
  </si>
  <si>
    <t>Beverage</t>
  </si>
  <si>
    <t>12 oz</t>
  </si>
  <si>
    <t>1234-015</t>
  </si>
  <si>
    <t>Greek Yogurt Cups</t>
  </si>
  <si>
    <t>Dairy</t>
  </si>
  <si>
    <t>6 cups</t>
  </si>
  <si>
    <t>1234-016</t>
  </si>
  <si>
    <t>Tape Dispenser</t>
  </si>
  <si>
    <t>1234-017</t>
  </si>
  <si>
    <t>Cheddar Cheese Block</t>
  </si>
  <si>
    <t>1234-018</t>
  </si>
  <si>
    <t>Scissors</t>
  </si>
  <si>
    <t>8 in</t>
  </si>
  <si>
    <t>1234-019</t>
  </si>
  <si>
    <t>Notebook</t>
  </si>
  <si>
    <t>100 pages</t>
  </si>
  <si>
    <t>1234-020</t>
  </si>
  <si>
    <t>Clementines</t>
  </si>
  <si>
    <t>1234-021</t>
  </si>
  <si>
    <t>Whiteboard Markers</t>
  </si>
  <si>
    <t>4-pack</t>
  </si>
  <si>
    <t>1234-022</t>
  </si>
  <si>
    <t>Avocados</t>
  </si>
  <si>
    <t>1234-023</t>
  </si>
  <si>
    <t>Beef Jerky</t>
  </si>
  <si>
    <t>Meat Snack</t>
  </si>
  <si>
    <t>3 oz</t>
  </si>
  <si>
    <t>1234-024</t>
  </si>
  <si>
    <t>Desk Mat</t>
  </si>
  <si>
    <t>18 x 12 in</t>
  </si>
  <si>
    <t>1234-025</t>
  </si>
  <si>
    <t>USB Flash Drive</t>
  </si>
  <si>
    <t>Storage Device</t>
  </si>
  <si>
    <t>32 GB</t>
  </si>
  <si>
    <t>1234-026</t>
  </si>
  <si>
    <t>Trail Mix</t>
  </si>
  <si>
    <t>Snack</t>
  </si>
  <si>
    <t>10 oz</t>
  </si>
  <si>
    <t>1234-027</t>
  </si>
  <si>
    <t>Honey Raw</t>
  </si>
  <si>
    <t>Sweetener</t>
  </si>
  <si>
    <t>8 oz</t>
  </si>
  <si>
    <t>1234-028</t>
  </si>
  <si>
    <t>Pen Holder</t>
  </si>
  <si>
    <t>1234-029</t>
  </si>
  <si>
    <t>Monitor Stand</t>
  </si>
  <si>
    <t>20 x 10 x 6 in</t>
  </si>
  <si>
    <t>1234-030</t>
  </si>
  <si>
    <t>Pencil Set</t>
  </si>
  <si>
    <t>12 pencils</t>
  </si>
  <si>
    <t>1234-031</t>
  </si>
  <si>
    <t>Highlighters</t>
  </si>
  <si>
    <t>6-pack</t>
  </si>
  <si>
    <t>1234-032</t>
  </si>
  <si>
    <t>Mozzarella Shredded</t>
  </si>
  <si>
    <t>1234-034</t>
  </si>
  <si>
    <t>Brown Sugar</t>
  </si>
  <si>
    <t>1234-035</t>
  </si>
  <si>
    <t>Mechanical Keyboard</t>
  </si>
  <si>
    <t>Computer Accessory</t>
  </si>
  <si>
    <t>18 x 6 x 1 in</t>
  </si>
  <si>
    <t>1234-036</t>
  </si>
  <si>
    <t>File Folders</t>
  </si>
  <si>
    <t>25 pieces</t>
  </si>
  <si>
    <t>1234-037</t>
  </si>
  <si>
    <t>Frozen Blueberries</t>
  </si>
  <si>
    <t>1234-038</t>
  </si>
  <si>
    <t>Keyboard Wrist Rest</t>
  </si>
  <si>
    <t>18 x 2 in</t>
  </si>
  <si>
    <t>1234-039</t>
  </si>
  <si>
    <t>Rice Vinegar</t>
  </si>
  <si>
    <t>Condiment</t>
  </si>
  <si>
    <t>16 oz</t>
  </si>
  <si>
    <t>1234-040</t>
  </si>
  <si>
    <t>Office Chair</t>
  </si>
  <si>
    <t>1234-041</t>
  </si>
  <si>
    <t>Granola Clusters</t>
  </si>
  <si>
    <t>1234-043</t>
  </si>
  <si>
    <t>Cheese Crackers</t>
  </si>
  <si>
    <t>1234-044</t>
  </si>
  <si>
    <t>Sharpie Marker</t>
  </si>
  <si>
    <t>1234-045</t>
  </si>
  <si>
    <t>Hole Puncher</t>
  </si>
  <si>
    <t>1234-046</t>
  </si>
  <si>
    <t>Whole Coffee Beans</t>
  </si>
  <si>
    <t>1234-047</t>
  </si>
  <si>
    <t>Desk Plant</t>
  </si>
  <si>
    <t>6 in</t>
  </si>
  <si>
    <t>1234-048</t>
  </si>
  <si>
    <t>Frozen Mixed Vegetables</t>
  </si>
  <si>
    <t>Vegetable</t>
  </si>
  <si>
    <t>1234-049</t>
  </si>
  <si>
    <t>Laptop Stand</t>
  </si>
  <si>
    <t>12 x 10 x 5 in</t>
  </si>
  <si>
    <t>1234-050</t>
  </si>
  <si>
    <t>Spinach Salad Mix</t>
  </si>
  <si>
    <t>1234-051</t>
  </si>
  <si>
    <t>Binder Folder</t>
  </si>
  <si>
    <t>1234-052</t>
  </si>
  <si>
    <t>Plastic Cups</t>
  </si>
  <si>
    <t>Party Supplies</t>
  </si>
  <si>
    <t>10-pack</t>
  </si>
  <si>
    <t>1234-053</t>
  </si>
  <si>
    <t>Pasta Elbows</t>
  </si>
  <si>
    <t>Grain/Pasta</t>
  </si>
  <si>
    <t>1234-055</t>
  </si>
  <si>
    <t>Soda 12 Pack</t>
  </si>
  <si>
    <t>12 cans</t>
  </si>
  <si>
    <t>1234-056</t>
  </si>
  <si>
    <t>Envelope Box</t>
  </si>
  <si>
    <t>50 envelopes</t>
  </si>
  <si>
    <t>1234-057</t>
  </si>
  <si>
    <t>Tea Bags</t>
  </si>
  <si>
    <t>20 bags</t>
  </si>
  <si>
    <t>1234-058</t>
  </si>
  <si>
    <t>Chocolate Chips</t>
  </si>
  <si>
    <t>Baking</t>
  </si>
  <si>
    <t>1234-059</t>
  </si>
  <si>
    <t>Label Maker</t>
  </si>
  <si>
    <t>1234-060</t>
  </si>
  <si>
    <t>Zucchini Squash</t>
  </si>
  <si>
    <t>1234-061</t>
  </si>
  <si>
    <t>Desk Organizer Tray</t>
  </si>
  <si>
    <t>12 x 8 x 2 in</t>
  </si>
  <si>
    <t>1234-062</t>
  </si>
  <si>
    <t>Frozen Shrimp</t>
  </si>
  <si>
    <t>Seafood</t>
  </si>
  <si>
    <t>1234-063</t>
  </si>
  <si>
    <t>Mouse Pad</t>
  </si>
  <si>
    <t>9 x 7 in</t>
  </si>
  <si>
    <t>1234-064</t>
  </si>
  <si>
    <t>Printer Ink</t>
  </si>
  <si>
    <t>Printer Supply</t>
  </si>
  <si>
    <t>1 cartridge</t>
  </si>
  <si>
    <t>1234-065</t>
  </si>
  <si>
    <t>All-Purpose Flour</t>
  </si>
  <si>
    <t>5 lb</t>
  </si>
  <si>
    <t>1234-066</t>
  </si>
  <si>
    <t>Keyboard Cover</t>
  </si>
  <si>
    <t>1234-067</t>
  </si>
  <si>
    <t>Almonds Raw</t>
  </si>
  <si>
    <t>Nuts</t>
  </si>
  <si>
    <t>1234-068</t>
  </si>
  <si>
    <t>Monitor Arm</t>
  </si>
  <si>
    <t>1234-069</t>
  </si>
  <si>
    <t>Dawn Dish Soap</t>
  </si>
  <si>
    <t>Cleaning Supply</t>
  </si>
  <si>
    <t>Cleaning</t>
  </si>
  <si>
    <t>1234-070</t>
  </si>
  <si>
    <t>Honey Packets</t>
  </si>
  <si>
    <t>1234-071</t>
  </si>
  <si>
    <t>Filing Box</t>
  </si>
  <si>
    <t>1234-072</t>
  </si>
  <si>
    <t>Cereal Bars</t>
  </si>
  <si>
    <t>6 bars</t>
  </si>
  <si>
    <t>1234-073</t>
  </si>
  <si>
    <t>Desk Shelf</t>
  </si>
  <si>
    <t>24 x 12 x 12 in</t>
  </si>
  <si>
    <t>1234-074</t>
  </si>
  <si>
    <t>1234-075</t>
  </si>
  <si>
    <t>Desk Calendar</t>
  </si>
  <si>
    <t>12 months</t>
  </si>
  <si>
    <t>1234-076</t>
  </si>
  <si>
    <t>Salmon Portions</t>
  </si>
  <si>
    <t>1234-077</t>
  </si>
  <si>
    <t>Cable Ties</t>
  </si>
  <si>
    <t>50-pack</t>
  </si>
  <si>
    <t>1234-078</t>
  </si>
  <si>
    <t>Cheddar Cheese Slices</t>
  </si>
  <si>
    <t>1234-079</t>
  </si>
  <si>
    <t>1234-080</t>
  </si>
  <si>
    <t>Instant Noodles</t>
  </si>
  <si>
    <t>3-pack</t>
  </si>
  <si>
    <t>1234-081</t>
  </si>
  <si>
    <t>Calculator</t>
  </si>
  <si>
    <t>1234-082</t>
  </si>
  <si>
    <t>Yogurt Cups</t>
  </si>
  <si>
    <t>1234-083</t>
  </si>
  <si>
    <t>Pen Set</t>
  </si>
  <si>
    <t>10 pens</t>
  </si>
  <si>
    <t>1234-084</t>
  </si>
  <si>
    <t>Whole Milk</t>
  </si>
  <si>
    <t>1 gallon</t>
  </si>
  <si>
    <t>1234-085</t>
  </si>
  <si>
    <t>Desk Fan</t>
  </si>
  <si>
    <t>12 in</t>
  </si>
  <si>
    <t>1234-086</t>
  </si>
  <si>
    <t>1234-087</t>
  </si>
  <si>
    <t>Laptop Dock</t>
  </si>
  <si>
    <t>1234-088</t>
  </si>
  <si>
    <t>Bottled Water Pack</t>
  </si>
  <si>
    <t>24 bottles</t>
  </si>
  <si>
    <t>1234-089</t>
  </si>
  <si>
    <t>Whiteboard Eraser</t>
  </si>
  <si>
    <t>1234-090</t>
  </si>
  <si>
    <t>Energy Drink 4 Pack</t>
  </si>
  <si>
    <t>4 cans</t>
  </si>
  <si>
    <t>1234-091</t>
  </si>
  <si>
    <t>Clipboard Folder</t>
  </si>
  <si>
    <t>1234-092</t>
  </si>
  <si>
    <t>Bread Loaf</t>
  </si>
  <si>
    <t>Bakery</t>
  </si>
  <si>
    <t>1234-093</t>
  </si>
  <si>
    <t>Desk Drawer Unit</t>
  </si>
  <si>
    <t>1234-094</t>
  </si>
  <si>
    <t>Frozen Pizza</t>
  </si>
  <si>
    <t>Frozen Meal</t>
  </si>
  <si>
    <t>14 in</t>
  </si>
  <si>
    <t>1234-095</t>
  </si>
  <si>
    <t>Pen Cup</t>
  </si>
  <si>
    <t>1234-096</t>
  </si>
  <si>
    <t>Mixed Nuts</t>
  </si>
  <si>
    <t>1234-097</t>
  </si>
  <si>
    <t>Notebook Set</t>
  </si>
  <si>
    <t>3 notebooks</t>
  </si>
  <si>
    <t>1234-098</t>
  </si>
  <si>
    <t>Pasta Shells</t>
  </si>
  <si>
    <t>1234-099</t>
  </si>
  <si>
    <t>Printer Stand</t>
  </si>
  <si>
    <t>24 x 16 x 12 in</t>
  </si>
  <si>
    <t>1234-100</t>
  </si>
  <si>
    <t>Sparkling Water</t>
  </si>
  <si>
    <t>12-pack</t>
  </si>
  <si>
    <t>Shoppinng Cart</t>
  </si>
  <si>
    <t>Price</t>
  </si>
  <si>
    <t>QTY</t>
  </si>
  <si>
    <t>Total</t>
  </si>
  <si>
    <t>Sub-Total</t>
  </si>
  <si>
    <t>Shipping</t>
  </si>
  <si>
    <t>Pen</t>
  </si>
  <si>
    <t>&lt;----Search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</si>
</sst>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8" fontId="0" fillId="0" borderId="0" xfId="0" applyNumberFormat="1"/>
    <xf numFmtId="0" fontId="18" fillId="33" borderId="0" xfId="0" applyFont="1" applyFill="1"/>
    <xf numFmtId="0" fontId="18" fillId="34" borderId="0" xfId="0" applyFont="1" applyFill="1" applyAlignment="1">
      <alignment horizontal="center"/>
    </xf>
    <xf numFmtId="0" fontId="18" fillId="33" borderId="10" xfId="0" applyFont="1" applyFill="1" applyBorder="1"/>
    <xf numFmtId="0" fontId="0" fillId="0" borderId="10" xfId="0" applyBorder="1"/>
    <xf numFmtId="44" fontId="18" fillId="33" borderId="10" xfId="1" applyFont="1" applyFill="1" applyBorder="1"/>
    <xf numFmtId="44" fontId="19" fillId="33" borderId="10" xfId="1" applyFont="1" applyFill="1" applyBorder="1"/>
    <xf numFmtId="44" fontId="18" fillId="34" borderId="10" xfId="1" applyFont="1" applyFill="1" applyBorder="1"/>
    <xf numFmtId="44" fontId="19" fillId="34" borderId="10" xfId="1" applyFont="1" applyFill="1" applyBorder="1"/>
    <xf numFmtId="0" fontId="18" fillId="0" borderId="0" xfId="0" applyFont="1" applyFill="1"/>
    <xf numFmtId="0" fontId="0" fillId="0" borderId="0" xfId="0" applyFill="1"/>
    <xf numFmtId="0" fontId="18" fillId="35" borderId="0" xfId="0" applyFont="1" applyFill="1"/>
    <xf numFmtId="0" fontId="0" fillId="36" borderId="0" xfId="0" applyFill="1"/>
    <xf numFmtId="0" fontId="18" fillId="34" borderId="11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0" fontId="18" fillId="34" borderId="13" xfId="0" applyFont="1" applyFill="1" applyBorder="1" applyAlignment="1">
      <alignment horizontal="center"/>
    </xf>
    <xf numFmtId="0" fontId="20" fillId="0" borderId="10" xfId="0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07B1B-96A3-4F35-9133-1F8257DA62E2}">
  <dimension ref="A1:R98"/>
  <sheetViews>
    <sheetView zoomScaleNormal="100" workbookViewId="0">
      <selection activeCell="F9" sqref="F9"/>
    </sheetView>
  </sheetViews>
  <sheetFormatPr defaultRowHeight="15" x14ac:dyDescent="0.25"/>
  <cols>
    <col min="1" max="1" width="22.85546875" bestFit="1" customWidth="1"/>
    <col min="2" max="2" width="24" bestFit="1" customWidth="1"/>
    <col min="3" max="3" width="12" bestFit="1" customWidth="1"/>
    <col min="4" max="4" width="15.140625" bestFit="1" customWidth="1"/>
    <col min="5" max="5" width="19.140625" bestFit="1" customWidth="1"/>
    <col min="6" max="6" width="16.140625" bestFit="1" customWidth="1"/>
    <col min="7" max="7" width="11.7109375" bestFit="1" customWidth="1"/>
    <col min="8" max="8" width="16.85546875" bestFit="1" customWidth="1"/>
    <col min="9" max="9" width="7.85546875" bestFit="1" customWidth="1"/>
    <col min="10" max="10" width="5.5703125" bestFit="1" customWidth="1"/>
    <col min="12" max="12" width="19.140625" bestFit="1" customWidth="1"/>
    <col min="13" max="13" width="24" bestFit="1" customWidth="1"/>
    <col min="14" max="14" width="16.5703125" bestFit="1" customWidth="1"/>
    <col min="15" max="15" width="17.140625" bestFit="1" customWidth="1"/>
    <col min="16" max="16" width="16.85546875" bestFit="1" customWidth="1"/>
    <col min="17" max="18" width="13.85546875" bestFit="1" customWidth="1"/>
  </cols>
  <sheetData>
    <row r="1" spans="1:18" ht="18.75" x14ac:dyDescent="0.3">
      <c r="A1" s="2" t="s">
        <v>2</v>
      </c>
      <c r="B1" s="2" t="s">
        <v>0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14" t="s">
        <v>283</v>
      </c>
      <c r="M1" s="15"/>
      <c r="N1" s="15"/>
      <c r="O1" s="15"/>
      <c r="P1" s="15"/>
      <c r="Q1" s="15"/>
      <c r="R1" s="16"/>
    </row>
    <row r="2" spans="1:18" ht="18.75" x14ac:dyDescent="0.3">
      <c r="A2" t="s">
        <v>11</v>
      </c>
      <c r="B2" t="s">
        <v>10</v>
      </c>
      <c r="C2">
        <v>72527273070</v>
      </c>
      <c r="D2" t="s">
        <v>12</v>
      </c>
      <c r="E2" t="s">
        <v>13</v>
      </c>
      <c r="F2" t="s">
        <v>14</v>
      </c>
      <c r="G2">
        <v>29</v>
      </c>
      <c r="H2" t="s">
        <v>15</v>
      </c>
      <c r="I2" s="1">
        <v>21</v>
      </c>
      <c r="J2">
        <v>4</v>
      </c>
      <c r="L2" s="4" t="s">
        <v>2</v>
      </c>
      <c r="M2" s="4" t="s">
        <v>0</v>
      </c>
      <c r="N2" s="4" t="s">
        <v>5</v>
      </c>
      <c r="O2" s="4" t="s">
        <v>7</v>
      </c>
      <c r="P2" s="4" t="s">
        <v>284</v>
      </c>
      <c r="Q2" s="4" t="s">
        <v>285</v>
      </c>
      <c r="R2" s="4" t="s">
        <v>286</v>
      </c>
    </row>
    <row r="3" spans="1:18" x14ac:dyDescent="0.25">
      <c r="A3" t="s">
        <v>17</v>
      </c>
      <c r="B3" t="s">
        <v>16</v>
      </c>
      <c r="C3">
        <v>72527273071</v>
      </c>
      <c r="D3" t="s">
        <v>18</v>
      </c>
      <c r="E3" t="s">
        <v>19</v>
      </c>
      <c r="F3" t="s">
        <v>20</v>
      </c>
      <c r="G3">
        <v>45</v>
      </c>
      <c r="H3" t="s">
        <v>21</v>
      </c>
      <c r="I3" s="1">
        <v>5.98</v>
      </c>
      <c r="J3">
        <v>4</v>
      </c>
      <c r="L3" s="5" t="s">
        <v>79</v>
      </c>
      <c r="M3" s="5" t="str">
        <f>VLOOKUP(L3, A:J, 2, FALSE)</f>
        <v>1234-021</v>
      </c>
      <c r="N3" s="5" t="str">
        <f>VLOOKUP(L3, A:J, 6, FALSE)</f>
        <v>4-pack</v>
      </c>
      <c r="O3" s="5" t="str">
        <f>VLOOKUP(L3, A:J, 8, FALSE)</f>
        <v>Office Supply Co</v>
      </c>
      <c r="P3" s="5">
        <f>VLOOKUP(L3, A:J, 9, FALSE)</f>
        <v>27.78</v>
      </c>
      <c r="Q3" s="5">
        <v>5</v>
      </c>
      <c r="R3" s="5">
        <f>P3*Q3</f>
        <v>138.9</v>
      </c>
    </row>
    <row r="4" spans="1:18" x14ac:dyDescent="0.25">
      <c r="A4" t="s">
        <v>23</v>
      </c>
      <c r="B4" t="s">
        <v>22</v>
      </c>
      <c r="C4">
        <v>72527273072</v>
      </c>
      <c r="D4" t="s">
        <v>12</v>
      </c>
      <c r="E4" t="s">
        <v>24</v>
      </c>
      <c r="F4" t="s">
        <v>25</v>
      </c>
      <c r="G4">
        <v>24</v>
      </c>
      <c r="H4" t="s">
        <v>15</v>
      </c>
      <c r="I4" s="1">
        <v>47.09</v>
      </c>
      <c r="J4">
        <v>2</v>
      </c>
      <c r="L4" s="5" t="s">
        <v>116</v>
      </c>
      <c r="M4" s="5" t="str">
        <f>VLOOKUP(L4, A:J, 2, FALSE)</f>
        <v>1234-034</v>
      </c>
      <c r="N4" s="5" t="str">
        <f>VLOOKUP(L4, A:J, 6, FALSE)</f>
        <v>2 lb</v>
      </c>
      <c r="O4" s="5" t="str">
        <f>VLOOKUP(L4, A:J, 8, FALSE)</f>
        <v>Coscto Wholesale</v>
      </c>
      <c r="P4" s="5">
        <f>VLOOKUP(L4, A:J, 9, FALSE)</f>
        <v>40.24</v>
      </c>
      <c r="Q4" s="5">
        <v>4</v>
      </c>
      <c r="R4" s="5">
        <f t="shared" ref="R4:R7" si="0">P4*Q4</f>
        <v>160.96</v>
      </c>
    </row>
    <row r="5" spans="1:18" x14ac:dyDescent="0.25">
      <c r="A5" t="s">
        <v>27</v>
      </c>
      <c r="B5" t="s">
        <v>26</v>
      </c>
      <c r="C5">
        <v>72527273073</v>
      </c>
      <c r="D5" t="s">
        <v>12</v>
      </c>
      <c r="E5" t="s">
        <v>13</v>
      </c>
      <c r="F5" t="s">
        <v>28</v>
      </c>
      <c r="G5">
        <v>24</v>
      </c>
      <c r="H5" t="s">
        <v>15</v>
      </c>
      <c r="I5" s="1">
        <v>30.59</v>
      </c>
      <c r="J5">
        <v>10</v>
      </c>
      <c r="L5" s="5" t="s">
        <v>144</v>
      </c>
      <c r="M5" s="5" t="str">
        <f>VLOOKUP(L5, A:J, 2, FALSE)</f>
        <v>1234-046</v>
      </c>
      <c r="N5" s="5" t="str">
        <f>VLOOKUP(L5, A:J, 6, FALSE)</f>
        <v>12 oz</v>
      </c>
      <c r="O5" s="5" t="str">
        <f>VLOOKUP(L5, A:J, 8, FALSE)</f>
        <v>Coscto Wholesale</v>
      </c>
      <c r="P5" s="5">
        <f>VLOOKUP(L5, A:J, 9, FALSE)</f>
        <v>36.729999999999997</v>
      </c>
      <c r="Q5" s="5">
        <v>2</v>
      </c>
      <c r="R5" s="5">
        <f t="shared" si="0"/>
        <v>73.459999999999994</v>
      </c>
    </row>
    <row r="6" spans="1:18" x14ac:dyDescent="0.25">
      <c r="A6" t="s">
        <v>30</v>
      </c>
      <c r="B6" t="s">
        <v>29</v>
      </c>
      <c r="C6">
        <v>72527273074</v>
      </c>
      <c r="D6" t="s">
        <v>18</v>
      </c>
      <c r="E6" t="s">
        <v>19</v>
      </c>
      <c r="F6" t="s">
        <v>20</v>
      </c>
      <c r="G6">
        <v>45</v>
      </c>
      <c r="H6" t="s">
        <v>21</v>
      </c>
      <c r="I6" s="1">
        <v>26.29</v>
      </c>
      <c r="J6">
        <v>2</v>
      </c>
      <c r="L6" s="5" t="s">
        <v>155</v>
      </c>
      <c r="M6" s="5" t="str">
        <f>VLOOKUP(L6, A:J, 2, FALSE)</f>
        <v>1234-050</v>
      </c>
      <c r="N6" s="5" t="str">
        <f>VLOOKUP(L6, A:J, 6, FALSE)</f>
        <v>1 lb</v>
      </c>
      <c r="O6" s="5" t="str">
        <f>VLOOKUP(L6, A:J, 8, FALSE)</f>
        <v>Coscto Wholesale</v>
      </c>
      <c r="P6" s="5">
        <f>VLOOKUP(L6, A:J, 9, FALSE)</f>
        <v>17.98</v>
      </c>
      <c r="Q6" s="5">
        <v>7</v>
      </c>
      <c r="R6" s="5">
        <f t="shared" si="0"/>
        <v>125.86</v>
      </c>
    </row>
    <row r="7" spans="1:18" x14ac:dyDescent="0.25">
      <c r="A7" t="s">
        <v>32</v>
      </c>
      <c r="B7" t="s">
        <v>31</v>
      </c>
      <c r="C7">
        <v>72527273075</v>
      </c>
      <c r="D7" t="s">
        <v>18</v>
      </c>
      <c r="E7" t="s">
        <v>33</v>
      </c>
      <c r="F7" t="s">
        <v>34</v>
      </c>
      <c r="G7">
        <v>7</v>
      </c>
      <c r="H7" t="s">
        <v>21</v>
      </c>
      <c r="I7" s="1">
        <v>41.24</v>
      </c>
      <c r="J7">
        <v>8</v>
      </c>
      <c r="L7" s="5" t="s">
        <v>166</v>
      </c>
      <c r="M7" s="5" t="str">
        <f>VLOOKUP(L7, A:J, 2, FALSE)</f>
        <v>1234-055</v>
      </c>
      <c r="N7" s="5" t="str">
        <f>VLOOKUP(L7, A:J, 6, FALSE)</f>
        <v>12 cans</v>
      </c>
      <c r="O7" s="5" t="str">
        <f>VLOOKUP(L7, A:J, 8, FALSE)</f>
        <v>Coscto Wholesale</v>
      </c>
      <c r="P7" s="5">
        <f>VLOOKUP(L7, A:J, 9, FALSE)</f>
        <v>20.37</v>
      </c>
      <c r="Q7" s="5">
        <v>1</v>
      </c>
      <c r="R7" s="5">
        <f t="shared" si="0"/>
        <v>20.37</v>
      </c>
    </row>
    <row r="8" spans="1:18" x14ac:dyDescent="0.25">
      <c r="A8" t="s">
        <v>36</v>
      </c>
      <c r="B8" t="s">
        <v>35</v>
      </c>
      <c r="C8">
        <v>72527273076</v>
      </c>
      <c r="D8" t="s">
        <v>12</v>
      </c>
      <c r="E8" t="s">
        <v>37</v>
      </c>
      <c r="F8" t="s">
        <v>38</v>
      </c>
      <c r="G8">
        <v>7</v>
      </c>
      <c r="H8" t="s">
        <v>15</v>
      </c>
      <c r="I8" s="1">
        <v>16.690000000000001</v>
      </c>
      <c r="J8">
        <v>9</v>
      </c>
      <c r="L8" s="5"/>
      <c r="M8" s="5"/>
      <c r="N8" s="5"/>
      <c r="O8" s="5"/>
      <c r="P8" s="5"/>
      <c r="Q8" s="5"/>
      <c r="R8" s="5"/>
    </row>
    <row r="9" spans="1:18" x14ac:dyDescent="0.25">
      <c r="A9" t="s">
        <v>40</v>
      </c>
      <c r="B9" t="s">
        <v>39</v>
      </c>
      <c r="C9">
        <v>72527273077</v>
      </c>
      <c r="D9" t="s">
        <v>12</v>
      </c>
      <c r="E9" t="s">
        <v>37</v>
      </c>
      <c r="F9" t="s">
        <v>41</v>
      </c>
      <c r="G9">
        <v>20</v>
      </c>
      <c r="H9" t="s">
        <v>15</v>
      </c>
      <c r="I9" s="1">
        <v>42.8</v>
      </c>
      <c r="J9">
        <v>8</v>
      </c>
      <c r="L9" s="5"/>
      <c r="M9" s="5"/>
      <c r="N9" s="5"/>
      <c r="O9" s="5"/>
      <c r="P9" s="5"/>
      <c r="Q9" s="5"/>
      <c r="R9" s="5"/>
    </row>
    <row r="10" spans="1:18" ht="21" x14ac:dyDescent="0.35">
      <c r="A10" t="s">
        <v>43</v>
      </c>
      <c r="B10" t="s">
        <v>42</v>
      </c>
      <c r="C10">
        <v>72527273078</v>
      </c>
      <c r="D10" t="s">
        <v>18</v>
      </c>
      <c r="E10" t="s">
        <v>44</v>
      </c>
      <c r="F10" t="s">
        <v>20</v>
      </c>
      <c r="G10">
        <v>4</v>
      </c>
      <c r="H10" t="s">
        <v>21</v>
      </c>
      <c r="I10" s="1">
        <v>36.840000000000003</v>
      </c>
      <c r="J10">
        <v>5</v>
      </c>
      <c r="L10" s="5"/>
      <c r="M10" s="5"/>
      <c r="N10" s="5"/>
      <c r="O10" s="5"/>
      <c r="P10" s="5"/>
      <c r="Q10" s="6" t="s">
        <v>287</v>
      </c>
      <c r="R10" s="7">
        <f>SUM(R3:R9)</f>
        <v>519.54999999999995</v>
      </c>
    </row>
    <row r="11" spans="1:18" ht="21" x14ac:dyDescent="0.35">
      <c r="A11" t="s">
        <v>46</v>
      </c>
      <c r="B11" t="s">
        <v>45</v>
      </c>
      <c r="C11">
        <v>72527273079</v>
      </c>
      <c r="D11" t="s">
        <v>12</v>
      </c>
      <c r="E11" t="s">
        <v>47</v>
      </c>
      <c r="F11" t="s">
        <v>48</v>
      </c>
      <c r="G11">
        <v>15</v>
      </c>
      <c r="H11" t="s">
        <v>15</v>
      </c>
      <c r="I11" s="1">
        <v>46.15</v>
      </c>
      <c r="J11">
        <v>10</v>
      </c>
      <c r="L11" s="5"/>
      <c r="M11" s="5"/>
      <c r="N11" s="5"/>
      <c r="O11" s="5"/>
      <c r="P11" s="5"/>
      <c r="Q11" s="6" t="s">
        <v>288</v>
      </c>
      <c r="R11" s="7">
        <v>19.989999999999998</v>
      </c>
    </row>
    <row r="12" spans="1:18" ht="21" x14ac:dyDescent="0.35">
      <c r="A12" t="s">
        <v>50</v>
      </c>
      <c r="B12" t="s">
        <v>49</v>
      </c>
      <c r="C12">
        <v>72527273080</v>
      </c>
      <c r="D12" t="s">
        <v>18</v>
      </c>
      <c r="E12" t="s">
        <v>19</v>
      </c>
      <c r="F12" t="s">
        <v>20</v>
      </c>
      <c r="G12">
        <v>15</v>
      </c>
      <c r="H12" t="s">
        <v>21</v>
      </c>
      <c r="I12" s="1">
        <v>9.25</v>
      </c>
      <c r="J12">
        <v>2</v>
      </c>
      <c r="L12" s="5"/>
      <c r="M12" s="5"/>
      <c r="N12" s="5"/>
      <c r="O12" s="5"/>
      <c r="P12" s="5"/>
      <c r="Q12" s="8" t="s">
        <v>286</v>
      </c>
      <c r="R12" s="9">
        <f>SUM(R10:R11)</f>
        <v>539.54</v>
      </c>
    </row>
    <row r="13" spans="1:18" x14ac:dyDescent="0.25">
      <c r="A13" t="s">
        <v>52</v>
      </c>
      <c r="B13" t="s">
        <v>51</v>
      </c>
      <c r="C13">
        <v>72527273081</v>
      </c>
      <c r="D13" t="s">
        <v>12</v>
      </c>
      <c r="E13" t="s">
        <v>37</v>
      </c>
      <c r="F13" t="s">
        <v>53</v>
      </c>
      <c r="G13">
        <v>22</v>
      </c>
      <c r="H13" t="s">
        <v>15</v>
      </c>
      <c r="I13" s="1">
        <v>33.08</v>
      </c>
      <c r="J13">
        <v>1</v>
      </c>
    </row>
    <row r="14" spans="1:18" x14ac:dyDescent="0.25">
      <c r="A14" t="s">
        <v>55</v>
      </c>
      <c r="B14" t="s">
        <v>54</v>
      </c>
      <c r="C14">
        <v>72527273082</v>
      </c>
      <c r="D14" t="s">
        <v>12</v>
      </c>
      <c r="E14" t="s">
        <v>56</v>
      </c>
      <c r="F14" t="s">
        <v>57</v>
      </c>
      <c r="G14">
        <v>38</v>
      </c>
      <c r="H14" t="s">
        <v>15</v>
      </c>
      <c r="I14" s="1">
        <v>24.41</v>
      </c>
      <c r="J14">
        <v>1</v>
      </c>
    </row>
    <row r="15" spans="1:18" x14ac:dyDescent="0.25">
      <c r="A15" t="s">
        <v>59</v>
      </c>
      <c r="B15" t="s">
        <v>58</v>
      </c>
      <c r="C15">
        <v>72527273083</v>
      </c>
      <c r="D15" t="s">
        <v>18</v>
      </c>
      <c r="E15" t="s">
        <v>60</v>
      </c>
      <c r="F15" t="s">
        <v>61</v>
      </c>
      <c r="G15">
        <v>7</v>
      </c>
      <c r="H15" t="s">
        <v>21</v>
      </c>
      <c r="I15" s="1">
        <v>42.1</v>
      </c>
      <c r="J15">
        <v>10</v>
      </c>
    </row>
    <row r="16" spans="1:18" x14ac:dyDescent="0.25">
      <c r="A16" t="s">
        <v>63</v>
      </c>
      <c r="B16" t="s">
        <v>62</v>
      </c>
      <c r="C16">
        <v>72527273084</v>
      </c>
      <c r="D16" t="s">
        <v>18</v>
      </c>
      <c r="E16" t="s">
        <v>64</v>
      </c>
      <c r="F16" t="s">
        <v>65</v>
      </c>
      <c r="G16">
        <v>9</v>
      </c>
      <c r="H16" t="s">
        <v>21</v>
      </c>
      <c r="I16" s="1">
        <v>6.92</v>
      </c>
      <c r="J16">
        <v>5</v>
      </c>
    </row>
    <row r="17" spans="1:10" x14ac:dyDescent="0.25">
      <c r="A17" t="s">
        <v>67</v>
      </c>
      <c r="B17" t="s">
        <v>66</v>
      </c>
      <c r="C17">
        <v>72527273085</v>
      </c>
      <c r="D17" t="s">
        <v>12</v>
      </c>
      <c r="E17" t="s">
        <v>13</v>
      </c>
      <c r="F17" t="s">
        <v>14</v>
      </c>
      <c r="G17">
        <v>49</v>
      </c>
      <c r="H17" t="s">
        <v>15</v>
      </c>
      <c r="I17" s="1">
        <v>37.9</v>
      </c>
      <c r="J17">
        <v>1</v>
      </c>
    </row>
    <row r="18" spans="1:10" x14ac:dyDescent="0.25">
      <c r="A18" t="s">
        <v>69</v>
      </c>
      <c r="B18" t="s">
        <v>68</v>
      </c>
      <c r="C18">
        <v>72527273086</v>
      </c>
      <c r="D18" t="s">
        <v>18</v>
      </c>
      <c r="E18" t="s">
        <v>64</v>
      </c>
      <c r="F18" t="s">
        <v>20</v>
      </c>
      <c r="G18">
        <v>41</v>
      </c>
      <c r="H18" t="s">
        <v>21</v>
      </c>
      <c r="I18" s="1">
        <v>40.67</v>
      </c>
      <c r="J18">
        <v>5</v>
      </c>
    </row>
    <row r="19" spans="1:10" x14ac:dyDescent="0.25">
      <c r="A19" t="s">
        <v>71</v>
      </c>
      <c r="B19" t="s">
        <v>70</v>
      </c>
      <c r="C19">
        <v>72527273087</v>
      </c>
      <c r="D19" t="s">
        <v>12</v>
      </c>
      <c r="E19" t="s">
        <v>13</v>
      </c>
      <c r="F19" t="s">
        <v>72</v>
      </c>
      <c r="G19">
        <v>46</v>
      </c>
      <c r="H19" t="s">
        <v>15</v>
      </c>
      <c r="I19" s="1">
        <v>18.350000000000001</v>
      </c>
      <c r="J19">
        <v>8</v>
      </c>
    </row>
    <row r="20" spans="1:10" x14ac:dyDescent="0.25">
      <c r="A20" t="s">
        <v>74</v>
      </c>
      <c r="B20" t="s">
        <v>73</v>
      </c>
      <c r="C20">
        <v>72527273088</v>
      </c>
      <c r="D20" t="s">
        <v>12</v>
      </c>
      <c r="E20" t="s">
        <v>37</v>
      </c>
      <c r="F20" t="s">
        <v>75</v>
      </c>
      <c r="G20">
        <v>47</v>
      </c>
      <c r="H20" t="s">
        <v>15</v>
      </c>
      <c r="I20" s="1">
        <v>42.41</v>
      </c>
      <c r="J20">
        <v>3</v>
      </c>
    </row>
    <row r="21" spans="1:10" x14ac:dyDescent="0.25">
      <c r="A21" t="s">
        <v>77</v>
      </c>
      <c r="B21" t="s">
        <v>76</v>
      </c>
      <c r="C21">
        <v>72527273089</v>
      </c>
      <c r="D21" t="s">
        <v>18</v>
      </c>
      <c r="E21" t="s">
        <v>19</v>
      </c>
      <c r="F21" t="s">
        <v>20</v>
      </c>
      <c r="G21">
        <v>41</v>
      </c>
      <c r="H21" t="s">
        <v>21</v>
      </c>
      <c r="I21" s="1">
        <v>19.46</v>
      </c>
      <c r="J21">
        <v>2</v>
      </c>
    </row>
    <row r="22" spans="1:10" x14ac:dyDescent="0.25">
      <c r="A22" t="s">
        <v>79</v>
      </c>
      <c r="B22" t="s">
        <v>78</v>
      </c>
      <c r="C22">
        <v>72527273090</v>
      </c>
      <c r="D22" t="s">
        <v>12</v>
      </c>
      <c r="E22" t="s">
        <v>37</v>
      </c>
      <c r="F22" t="s">
        <v>80</v>
      </c>
      <c r="G22">
        <v>16</v>
      </c>
      <c r="H22" t="s">
        <v>15</v>
      </c>
      <c r="I22" s="1">
        <v>27.78</v>
      </c>
      <c r="J22">
        <v>9</v>
      </c>
    </row>
    <row r="23" spans="1:10" x14ac:dyDescent="0.25">
      <c r="A23" t="s">
        <v>82</v>
      </c>
      <c r="B23" t="s">
        <v>81</v>
      </c>
      <c r="C23">
        <v>72527273091</v>
      </c>
      <c r="D23" t="s">
        <v>18</v>
      </c>
      <c r="E23" t="s">
        <v>19</v>
      </c>
      <c r="F23" t="s">
        <v>20</v>
      </c>
      <c r="G23">
        <v>43</v>
      </c>
      <c r="H23" t="s">
        <v>21</v>
      </c>
      <c r="I23" s="1">
        <v>39.06</v>
      </c>
      <c r="J23">
        <v>2</v>
      </c>
    </row>
    <row r="24" spans="1:10" x14ac:dyDescent="0.25">
      <c r="A24" t="s">
        <v>84</v>
      </c>
      <c r="B24" t="s">
        <v>83</v>
      </c>
      <c r="C24">
        <v>72527273092</v>
      </c>
      <c r="D24" t="s">
        <v>18</v>
      </c>
      <c r="E24" t="s">
        <v>85</v>
      </c>
      <c r="F24" t="s">
        <v>86</v>
      </c>
      <c r="G24">
        <v>8</v>
      </c>
      <c r="H24" t="s">
        <v>21</v>
      </c>
      <c r="I24" s="1">
        <v>19.13</v>
      </c>
      <c r="J24">
        <v>9</v>
      </c>
    </row>
    <row r="25" spans="1:10" x14ac:dyDescent="0.25">
      <c r="A25" t="s">
        <v>88</v>
      </c>
      <c r="B25" t="s">
        <v>87</v>
      </c>
      <c r="C25">
        <v>72527273093</v>
      </c>
      <c r="D25" t="s">
        <v>12</v>
      </c>
      <c r="E25" t="s">
        <v>13</v>
      </c>
      <c r="F25" t="s">
        <v>89</v>
      </c>
      <c r="G25">
        <v>50</v>
      </c>
      <c r="H25" t="s">
        <v>15</v>
      </c>
      <c r="I25" s="1">
        <v>11.93</v>
      </c>
      <c r="J25">
        <v>3</v>
      </c>
    </row>
    <row r="26" spans="1:10" x14ac:dyDescent="0.25">
      <c r="A26" t="s">
        <v>91</v>
      </c>
      <c r="B26" t="s">
        <v>90</v>
      </c>
      <c r="C26">
        <v>72527273094</v>
      </c>
      <c r="D26" t="s">
        <v>12</v>
      </c>
      <c r="E26" t="s">
        <v>92</v>
      </c>
      <c r="F26" t="s">
        <v>93</v>
      </c>
      <c r="G26">
        <v>25</v>
      </c>
      <c r="H26" t="s">
        <v>15</v>
      </c>
      <c r="I26" s="1">
        <v>30.42</v>
      </c>
      <c r="J26">
        <v>6</v>
      </c>
    </row>
    <row r="27" spans="1:10" x14ac:dyDescent="0.25">
      <c r="A27" t="s">
        <v>95</v>
      </c>
      <c r="B27" t="s">
        <v>94</v>
      </c>
      <c r="C27">
        <v>72527273095</v>
      </c>
      <c r="D27" t="s">
        <v>18</v>
      </c>
      <c r="E27" t="s">
        <v>96</v>
      </c>
      <c r="F27" t="s">
        <v>97</v>
      </c>
      <c r="G27">
        <v>38</v>
      </c>
      <c r="H27" t="s">
        <v>21</v>
      </c>
      <c r="I27" s="1">
        <v>12.22</v>
      </c>
      <c r="J27">
        <v>8</v>
      </c>
    </row>
    <row r="28" spans="1:10" x14ac:dyDescent="0.25">
      <c r="A28" t="s">
        <v>99</v>
      </c>
      <c r="B28" t="s">
        <v>98</v>
      </c>
      <c r="C28">
        <v>72527273096</v>
      </c>
      <c r="D28" t="s">
        <v>18</v>
      </c>
      <c r="E28" t="s">
        <v>100</v>
      </c>
      <c r="F28" t="s">
        <v>101</v>
      </c>
      <c r="G28">
        <v>50</v>
      </c>
      <c r="H28" t="s">
        <v>21</v>
      </c>
      <c r="I28" s="1">
        <v>24.8</v>
      </c>
      <c r="J28">
        <v>4</v>
      </c>
    </row>
    <row r="29" spans="1:10" x14ac:dyDescent="0.25">
      <c r="A29" t="s">
        <v>103</v>
      </c>
      <c r="B29" t="s">
        <v>102</v>
      </c>
      <c r="C29">
        <v>72527273097</v>
      </c>
      <c r="D29" t="s">
        <v>12</v>
      </c>
      <c r="E29" t="s">
        <v>13</v>
      </c>
      <c r="F29" t="s">
        <v>14</v>
      </c>
      <c r="G29">
        <v>10</v>
      </c>
      <c r="H29" t="s">
        <v>15</v>
      </c>
      <c r="I29" s="1">
        <v>7.62</v>
      </c>
      <c r="J29">
        <v>10</v>
      </c>
    </row>
    <row r="30" spans="1:10" x14ac:dyDescent="0.25">
      <c r="A30" t="s">
        <v>105</v>
      </c>
      <c r="B30" t="s">
        <v>104</v>
      </c>
      <c r="C30">
        <v>72527273098</v>
      </c>
      <c r="D30" t="s">
        <v>12</v>
      </c>
      <c r="E30" t="s">
        <v>13</v>
      </c>
      <c r="F30" t="s">
        <v>106</v>
      </c>
      <c r="G30">
        <v>19</v>
      </c>
      <c r="H30" t="s">
        <v>15</v>
      </c>
      <c r="I30" s="1">
        <v>47.44</v>
      </c>
      <c r="J30">
        <v>4</v>
      </c>
    </row>
    <row r="31" spans="1:10" x14ac:dyDescent="0.25">
      <c r="A31" t="s">
        <v>108</v>
      </c>
      <c r="B31" t="s">
        <v>107</v>
      </c>
      <c r="C31">
        <v>72527273099</v>
      </c>
      <c r="D31" t="s">
        <v>12</v>
      </c>
      <c r="E31" t="s">
        <v>37</v>
      </c>
      <c r="F31" t="s">
        <v>109</v>
      </c>
      <c r="G31">
        <v>34</v>
      </c>
      <c r="H31" t="s">
        <v>15</v>
      </c>
      <c r="I31" s="1">
        <v>28.73</v>
      </c>
      <c r="J31">
        <v>2</v>
      </c>
    </row>
    <row r="32" spans="1:10" x14ac:dyDescent="0.25">
      <c r="A32" t="s">
        <v>111</v>
      </c>
      <c r="B32" t="s">
        <v>110</v>
      </c>
      <c r="C32">
        <v>72527273100</v>
      </c>
      <c r="D32" t="s">
        <v>12</v>
      </c>
      <c r="E32" t="s">
        <v>37</v>
      </c>
      <c r="F32" t="s">
        <v>112</v>
      </c>
      <c r="G32">
        <v>37</v>
      </c>
      <c r="H32" t="s">
        <v>15</v>
      </c>
      <c r="I32" s="1">
        <v>1.44</v>
      </c>
      <c r="J32">
        <v>9</v>
      </c>
    </row>
    <row r="33" spans="1:10" x14ac:dyDescent="0.25">
      <c r="A33" t="s">
        <v>114</v>
      </c>
      <c r="B33" t="s">
        <v>113</v>
      </c>
      <c r="C33">
        <v>72527273101</v>
      </c>
      <c r="D33" t="s">
        <v>18</v>
      </c>
      <c r="E33" t="s">
        <v>64</v>
      </c>
      <c r="F33" t="s">
        <v>101</v>
      </c>
      <c r="G33">
        <v>28</v>
      </c>
      <c r="H33" t="s">
        <v>21</v>
      </c>
      <c r="I33" s="1">
        <v>49.23</v>
      </c>
      <c r="J33">
        <v>9</v>
      </c>
    </row>
    <row r="34" spans="1:10" x14ac:dyDescent="0.25">
      <c r="A34" t="s">
        <v>116</v>
      </c>
      <c r="B34" t="s">
        <v>115</v>
      </c>
      <c r="C34">
        <v>72527273103</v>
      </c>
      <c r="D34" t="s">
        <v>18</v>
      </c>
      <c r="E34" t="s">
        <v>100</v>
      </c>
      <c r="F34" t="s">
        <v>34</v>
      </c>
      <c r="G34">
        <v>4</v>
      </c>
      <c r="H34" t="s">
        <v>21</v>
      </c>
      <c r="I34" s="1">
        <v>40.24</v>
      </c>
      <c r="J34">
        <v>10</v>
      </c>
    </row>
    <row r="35" spans="1:10" x14ac:dyDescent="0.25">
      <c r="A35" t="s">
        <v>118</v>
      </c>
      <c r="B35" t="s">
        <v>117</v>
      </c>
      <c r="C35">
        <v>72527273104</v>
      </c>
      <c r="D35" t="s">
        <v>12</v>
      </c>
      <c r="E35" t="s">
        <v>119</v>
      </c>
      <c r="F35" t="s">
        <v>120</v>
      </c>
      <c r="G35">
        <v>41</v>
      </c>
      <c r="H35" t="s">
        <v>15</v>
      </c>
      <c r="I35" s="1">
        <v>41.81</v>
      </c>
      <c r="J35">
        <v>8</v>
      </c>
    </row>
    <row r="36" spans="1:10" x14ac:dyDescent="0.25">
      <c r="A36" t="s">
        <v>122</v>
      </c>
      <c r="B36" t="s">
        <v>121</v>
      </c>
      <c r="C36">
        <v>72527273105</v>
      </c>
      <c r="D36" t="s">
        <v>12</v>
      </c>
      <c r="E36" t="s">
        <v>37</v>
      </c>
      <c r="F36" t="s">
        <v>123</v>
      </c>
      <c r="G36">
        <v>45</v>
      </c>
      <c r="H36" t="s">
        <v>15</v>
      </c>
      <c r="I36" s="1">
        <v>3.01</v>
      </c>
      <c r="J36">
        <v>2</v>
      </c>
    </row>
    <row r="37" spans="1:10" x14ac:dyDescent="0.25">
      <c r="A37" t="s">
        <v>125</v>
      </c>
      <c r="B37" t="s">
        <v>124</v>
      </c>
      <c r="C37">
        <v>72527273106</v>
      </c>
      <c r="D37" t="s">
        <v>18</v>
      </c>
      <c r="E37" t="s">
        <v>19</v>
      </c>
      <c r="F37" t="s">
        <v>61</v>
      </c>
      <c r="G37">
        <v>37</v>
      </c>
      <c r="H37" t="s">
        <v>21</v>
      </c>
      <c r="I37" s="1">
        <v>32.950000000000003</v>
      </c>
      <c r="J37">
        <v>8</v>
      </c>
    </row>
    <row r="38" spans="1:10" x14ac:dyDescent="0.25">
      <c r="A38" t="s">
        <v>127</v>
      </c>
      <c r="B38" t="s">
        <v>126</v>
      </c>
      <c r="C38">
        <v>72527273107</v>
      </c>
      <c r="D38" t="s">
        <v>12</v>
      </c>
      <c r="E38" t="s">
        <v>13</v>
      </c>
      <c r="F38" t="s">
        <v>128</v>
      </c>
      <c r="G38">
        <v>33</v>
      </c>
      <c r="H38" t="s">
        <v>15</v>
      </c>
      <c r="I38" s="1">
        <v>13.34</v>
      </c>
      <c r="J38">
        <v>3</v>
      </c>
    </row>
    <row r="39" spans="1:10" x14ac:dyDescent="0.25">
      <c r="A39" t="s">
        <v>130</v>
      </c>
      <c r="B39" t="s">
        <v>129</v>
      </c>
      <c r="C39">
        <v>72527273108</v>
      </c>
      <c r="D39" t="s">
        <v>18</v>
      </c>
      <c r="E39" t="s">
        <v>131</v>
      </c>
      <c r="F39" t="s">
        <v>132</v>
      </c>
      <c r="G39">
        <v>24</v>
      </c>
      <c r="H39" t="s">
        <v>21</v>
      </c>
      <c r="I39" s="1">
        <v>41.93</v>
      </c>
      <c r="J39">
        <v>10</v>
      </c>
    </row>
    <row r="40" spans="1:10" x14ac:dyDescent="0.25">
      <c r="A40" t="s">
        <v>134</v>
      </c>
      <c r="B40" t="s">
        <v>133</v>
      </c>
      <c r="C40">
        <v>72527273109</v>
      </c>
      <c r="D40" t="s">
        <v>12</v>
      </c>
      <c r="E40" t="s">
        <v>47</v>
      </c>
      <c r="F40" t="s">
        <v>14</v>
      </c>
      <c r="G40">
        <v>24</v>
      </c>
      <c r="H40" t="s">
        <v>15</v>
      </c>
      <c r="I40" s="1">
        <v>35.14</v>
      </c>
      <c r="J40">
        <v>1</v>
      </c>
    </row>
    <row r="41" spans="1:10" x14ac:dyDescent="0.25">
      <c r="A41" t="s">
        <v>136</v>
      </c>
      <c r="B41" t="s">
        <v>135</v>
      </c>
      <c r="C41">
        <v>72527273110</v>
      </c>
      <c r="D41" t="s">
        <v>18</v>
      </c>
      <c r="E41" t="s">
        <v>96</v>
      </c>
      <c r="F41" t="s">
        <v>97</v>
      </c>
      <c r="G41">
        <v>39</v>
      </c>
      <c r="H41" t="s">
        <v>21</v>
      </c>
      <c r="I41" s="1">
        <v>28.69</v>
      </c>
      <c r="J41">
        <v>10</v>
      </c>
    </row>
    <row r="42" spans="1:10" x14ac:dyDescent="0.25">
      <c r="A42" t="s">
        <v>138</v>
      </c>
      <c r="B42" t="s">
        <v>137</v>
      </c>
      <c r="C42">
        <v>72527273112</v>
      </c>
      <c r="D42" t="s">
        <v>18</v>
      </c>
      <c r="E42" t="s">
        <v>96</v>
      </c>
      <c r="F42" t="s">
        <v>101</v>
      </c>
      <c r="G42">
        <v>46</v>
      </c>
      <c r="H42" t="s">
        <v>21</v>
      </c>
      <c r="I42" s="1">
        <v>13.63</v>
      </c>
      <c r="J42">
        <v>7</v>
      </c>
    </row>
    <row r="43" spans="1:10" x14ac:dyDescent="0.25">
      <c r="A43" t="s">
        <v>140</v>
      </c>
      <c r="B43" t="s">
        <v>139</v>
      </c>
      <c r="C43">
        <v>72527273113</v>
      </c>
      <c r="D43" t="s">
        <v>12</v>
      </c>
      <c r="E43" t="s">
        <v>37</v>
      </c>
      <c r="F43" t="s">
        <v>80</v>
      </c>
      <c r="G43">
        <v>32</v>
      </c>
      <c r="H43" t="s">
        <v>15</v>
      </c>
      <c r="I43" s="1">
        <v>35.49</v>
      </c>
      <c r="J43">
        <v>2</v>
      </c>
    </row>
    <row r="44" spans="1:10" x14ac:dyDescent="0.25">
      <c r="A44" t="s">
        <v>142</v>
      </c>
      <c r="B44" t="s">
        <v>141</v>
      </c>
      <c r="C44">
        <v>72527273114</v>
      </c>
      <c r="D44" t="s">
        <v>12</v>
      </c>
      <c r="E44" t="s">
        <v>13</v>
      </c>
      <c r="F44" t="s">
        <v>14</v>
      </c>
      <c r="G44">
        <v>21</v>
      </c>
      <c r="H44" t="s">
        <v>15</v>
      </c>
      <c r="I44" s="1">
        <v>7</v>
      </c>
      <c r="J44">
        <v>3</v>
      </c>
    </row>
    <row r="45" spans="1:10" x14ac:dyDescent="0.25">
      <c r="A45" t="s">
        <v>144</v>
      </c>
      <c r="B45" t="s">
        <v>143</v>
      </c>
      <c r="C45">
        <v>72527273115</v>
      </c>
      <c r="D45" t="s">
        <v>18</v>
      </c>
      <c r="E45" t="s">
        <v>60</v>
      </c>
      <c r="F45" t="s">
        <v>61</v>
      </c>
      <c r="G45">
        <v>4</v>
      </c>
      <c r="H45" t="s">
        <v>21</v>
      </c>
      <c r="I45" s="1">
        <v>36.729999999999997</v>
      </c>
      <c r="J45">
        <v>2</v>
      </c>
    </row>
    <row r="46" spans="1:10" x14ac:dyDescent="0.25">
      <c r="A46" t="s">
        <v>146</v>
      </c>
      <c r="B46" t="s">
        <v>145</v>
      </c>
      <c r="C46">
        <v>72527273116</v>
      </c>
      <c r="D46" t="s">
        <v>12</v>
      </c>
      <c r="E46" t="s">
        <v>13</v>
      </c>
      <c r="F46" t="s">
        <v>147</v>
      </c>
      <c r="G46">
        <v>39</v>
      </c>
      <c r="H46" t="s">
        <v>15</v>
      </c>
      <c r="I46" s="1">
        <v>5.35</v>
      </c>
      <c r="J46">
        <v>2</v>
      </c>
    </row>
    <row r="47" spans="1:10" x14ac:dyDescent="0.25">
      <c r="A47" t="s">
        <v>149</v>
      </c>
      <c r="B47" t="s">
        <v>148</v>
      </c>
      <c r="C47">
        <v>72527273117</v>
      </c>
      <c r="D47" t="s">
        <v>18</v>
      </c>
      <c r="E47" t="s">
        <v>150</v>
      </c>
      <c r="F47" t="s">
        <v>61</v>
      </c>
      <c r="G47">
        <v>6</v>
      </c>
      <c r="H47" t="s">
        <v>21</v>
      </c>
      <c r="I47" s="1">
        <v>3.25</v>
      </c>
      <c r="J47">
        <v>3</v>
      </c>
    </row>
    <row r="48" spans="1:10" x14ac:dyDescent="0.25">
      <c r="A48" t="s">
        <v>152</v>
      </c>
      <c r="B48" t="s">
        <v>151</v>
      </c>
      <c r="C48">
        <v>72527273118</v>
      </c>
      <c r="D48" t="s">
        <v>12</v>
      </c>
      <c r="E48" t="s">
        <v>13</v>
      </c>
      <c r="F48" t="s">
        <v>153</v>
      </c>
      <c r="G48">
        <v>4</v>
      </c>
      <c r="H48" t="s">
        <v>15</v>
      </c>
      <c r="I48" s="1">
        <v>32.85</v>
      </c>
      <c r="J48">
        <v>6</v>
      </c>
    </row>
    <row r="49" spans="1:10" x14ac:dyDescent="0.25">
      <c r="A49" t="s">
        <v>155</v>
      </c>
      <c r="B49" t="s">
        <v>154</v>
      </c>
      <c r="C49">
        <v>72527273119</v>
      </c>
      <c r="D49" t="s">
        <v>18</v>
      </c>
      <c r="E49" t="s">
        <v>150</v>
      </c>
      <c r="F49" t="s">
        <v>20</v>
      </c>
      <c r="G49">
        <v>20</v>
      </c>
      <c r="H49" t="s">
        <v>21</v>
      </c>
      <c r="I49" s="1">
        <v>17.98</v>
      </c>
      <c r="J49">
        <v>9</v>
      </c>
    </row>
    <row r="50" spans="1:10" x14ac:dyDescent="0.25">
      <c r="A50" t="s">
        <v>157</v>
      </c>
      <c r="B50" t="s">
        <v>156</v>
      </c>
      <c r="C50">
        <v>72527273120</v>
      </c>
      <c r="D50" t="s">
        <v>12</v>
      </c>
      <c r="E50" t="s">
        <v>37</v>
      </c>
      <c r="F50" t="s">
        <v>14</v>
      </c>
      <c r="G50">
        <v>20</v>
      </c>
      <c r="H50" t="s">
        <v>15</v>
      </c>
      <c r="I50" s="1">
        <v>48.48</v>
      </c>
      <c r="J50">
        <v>8</v>
      </c>
    </row>
    <row r="51" spans="1:10" x14ac:dyDescent="0.25">
      <c r="A51" t="s">
        <v>159</v>
      </c>
      <c r="B51" t="s">
        <v>158</v>
      </c>
      <c r="C51">
        <v>72527273121</v>
      </c>
      <c r="D51" t="s">
        <v>12</v>
      </c>
      <c r="E51" t="s">
        <v>160</v>
      </c>
      <c r="F51" t="s">
        <v>161</v>
      </c>
      <c r="G51">
        <v>4</v>
      </c>
      <c r="H51" t="s">
        <v>15</v>
      </c>
      <c r="I51" s="1">
        <v>35.700000000000003</v>
      </c>
      <c r="J51">
        <v>2</v>
      </c>
    </row>
    <row r="52" spans="1:10" x14ac:dyDescent="0.25">
      <c r="A52" t="s">
        <v>163</v>
      </c>
      <c r="B52" t="s">
        <v>162</v>
      </c>
      <c r="C52">
        <v>72527273122</v>
      </c>
      <c r="D52" t="s">
        <v>18</v>
      </c>
      <c r="E52" t="s">
        <v>164</v>
      </c>
      <c r="F52" t="s">
        <v>132</v>
      </c>
      <c r="G52">
        <v>49</v>
      </c>
      <c r="H52" t="s">
        <v>21</v>
      </c>
      <c r="I52" s="1">
        <v>48.48</v>
      </c>
      <c r="J52">
        <v>5</v>
      </c>
    </row>
    <row r="53" spans="1:10" x14ac:dyDescent="0.25">
      <c r="A53" t="s">
        <v>166</v>
      </c>
      <c r="B53" t="s">
        <v>165</v>
      </c>
      <c r="C53">
        <v>72527273124</v>
      </c>
      <c r="D53" t="s">
        <v>18</v>
      </c>
      <c r="E53" t="s">
        <v>60</v>
      </c>
      <c r="F53" t="s">
        <v>167</v>
      </c>
      <c r="G53">
        <v>27</v>
      </c>
      <c r="H53" t="s">
        <v>21</v>
      </c>
      <c r="I53" s="1">
        <v>20.37</v>
      </c>
      <c r="J53">
        <v>3</v>
      </c>
    </row>
    <row r="54" spans="1:10" x14ac:dyDescent="0.25">
      <c r="A54" t="s">
        <v>169</v>
      </c>
      <c r="B54" t="s">
        <v>168</v>
      </c>
      <c r="C54">
        <v>72527273125</v>
      </c>
      <c r="D54" t="s">
        <v>12</v>
      </c>
      <c r="E54" t="s">
        <v>37</v>
      </c>
      <c r="F54" t="s">
        <v>170</v>
      </c>
      <c r="G54">
        <v>46</v>
      </c>
      <c r="H54" t="s">
        <v>15</v>
      </c>
      <c r="I54" s="1">
        <v>32.869999999999997</v>
      </c>
      <c r="J54">
        <v>1</v>
      </c>
    </row>
    <row r="55" spans="1:10" x14ac:dyDescent="0.25">
      <c r="A55" t="s">
        <v>172</v>
      </c>
      <c r="B55" t="s">
        <v>171</v>
      </c>
      <c r="C55">
        <v>72527273126</v>
      </c>
      <c r="D55" t="s">
        <v>18</v>
      </c>
      <c r="E55" t="s">
        <v>60</v>
      </c>
      <c r="F55" t="s">
        <v>173</v>
      </c>
      <c r="G55">
        <v>38</v>
      </c>
      <c r="H55" t="s">
        <v>21</v>
      </c>
      <c r="I55" s="1">
        <v>37.729999999999997</v>
      </c>
      <c r="J55">
        <v>10</v>
      </c>
    </row>
    <row r="56" spans="1:10" x14ac:dyDescent="0.25">
      <c r="A56" t="s">
        <v>175</v>
      </c>
      <c r="B56" t="s">
        <v>174</v>
      </c>
      <c r="C56">
        <v>72527273127</v>
      </c>
      <c r="D56" t="s">
        <v>18</v>
      </c>
      <c r="E56" t="s">
        <v>176</v>
      </c>
      <c r="F56" t="s">
        <v>61</v>
      </c>
      <c r="G56">
        <v>10</v>
      </c>
      <c r="H56" t="s">
        <v>21</v>
      </c>
      <c r="I56" s="1">
        <v>33.01</v>
      </c>
      <c r="J56">
        <v>4</v>
      </c>
    </row>
    <row r="57" spans="1:10" x14ac:dyDescent="0.25">
      <c r="A57" t="s">
        <v>178</v>
      </c>
      <c r="B57" t="s">
        <v>177</v>
      </c>
      <c r="C57">
        <v>72527273128</v>
      </c>
      <c r="D57" t="s">
        <v>12</v>
      </c>
      <c r="E57" t="s">
        <v>13</v>
      </c>
      <c r="F57" t="s">
        <v>14</v>
      </c>
      <c r="G57">
        <v>40</v>
      </c>
      <c r="H57" t="s">
        <v>15</v>
      </c>
      <c r="I57" s="1">
        <v>4.1100000000000003</v>
      </c>
      <c r="J57">
        <v>10</v>
      </c>
    </row>
    <row r="58" spans="1:10" x14ac:dyDescent="0.25">
      <c r="A58" t="s">
        <v>180</v>
      </c>
      <c r="B58" t="s">
        <v>179</v>
      </c>
      <c r="C58">
        <v>72527273129</v>
      </c>
      <c r="D58" t="s">
        <v>18</v>
      </c>
      <c r="E58" t="s">
        <v>150</v>
      </c>
      <c r="F58" t="s">
        <v>20</v>
      </c>
      <c r="G58">
        <v>37</v>
      </c>
      <c r="H58" t="s">
        <v>21</v>
      </c>
      <c r="I58" s="1">
        <v>16.989999999999998</v>
      </c>
      <c r="J58">
        <v>2</v>
      </c>
    </row>
    <row r="59" spans="1:10" x14ac:dyDescent="0.25">
      <c r="A59" t="s">
        <v>182</v>
      </c>
      <c r="B59" t="s">
        <v>181</v>
      </c>
      <c r="C59">
        <v>72527273130</v>
      </c>
      <c r="D59" t="s">
        <v>12</v>
      </c>
      <c r="E59" t="s">
        <v>13</v>
      </c>
      <c r="F59" t="s">
        <v>183</v>
      </c>
      <c r="G59">
        <v>2</v>
      </c>
      <c r="H59" t="s">
        <v>15</v>
      </c>
      <c r="I59" s="1">
        <v>4.1399999999999997</v>
      </c>
      <c r="J59">
        <v>3</v>
      </c>
    </row>
    <row r="60" spans="1:10" x14ac:dyDescent="0.25">
      <c r="A60" t="s">
        <v>185</v>
      </c>
      <c r="B60" t="s">
        <v>184</v>
      </c>
      <c r="C60">
        <v>72527273131</v>
      </c>
      <c r="D60" t="s">
        <v>18</v>
      </c>
      <c r="E60" t="s">
        <v>186</v>
      </c>
      <c r="F60" t="s">
        <v>20</v>
      </c>
      <c r="G60">
        <v>21</v>
      </c>
      <c r="H60" t="s">
        <v>21</v>
      </c>
      <c r="I60" s="1">
        <v>39.020000000000003</v>
      </c>
      <c r="J60">
        <v>9</v>
      </c>
    </row>
    <row r="61" spans="1:10" x14ac:dyDescent="0.25">
      <c r="A61" t="s">
        <v>188</v>
      </c>
      <c r="B61" t="s">
        <v>187</v>
      </c>
      <c r="C61">
        <v>72527273132</v>
      </c>
      <c r="D61" t="s">
        <v>12</v>
      </c>
      <c r="E61" t="s">
        <v>13</v>
      </c>
      <c r="F61" t="s">
        <v>189</v>
      </c>
      <c r="G61">
        <v>5</v>
      </c>
      <c r="H61" t="s">
        <v>15</v>
      </c>
      <c r="I61" s="1">
        <v>10.76</v>
      </c>
      <c r="J61">
        <v>6</v>
      </c>
    </row>
    <row r="62" spans="1:10" x14ac:dyDescent="0.25">
      <c r="A62" t="s">
        <v>191</v>
      </c>
      <c r="B62" t="s">
        <v>190</v>
      </c>
      <c r="C62">
        <v>72527273133</v>
      </c>
      <c r="D62" t="s">
        <v>12</v>
      </c>
      <c r="E62" t="s">
        <v>192</v>
      </c>
      <c r="F62" t="s">
        <v>193</v>
      </c>
      <c r="G62">
        <v>50</v>
      </c>
      <c r="H62" t="s">
        <v>15</v>
      </c>
      <c r="I62" s="1">
        <v>23.72</v>
      </c>
      <c r="J62">
        <v>9</v>
      </c>
    </row>
    <row r="63" spans="1:10" x14ac:dyDescent="0.25">
      <c r="A63" t="s">
        <v>195</v>
      </c>
      <c r="B63" t="s">
        <v>194</v>
      </c>
      <c r="C63">
        <v>72527273134</v>
      </c>
      <c r="D63" t="s">
        <v>18</v>
      </c>
      <c r="E63" t="s">
        <v>176</v>
      </c>
      <c r="F63" t="s">
        <v>196</v>
      </c>
      <c r="G63">
        <v>7</v>
      </c>
      <c r="H63" t="s">
        <v>21</v>
      </c>
      <c r="I63" s="1">
        <v>12.54</v>
      </c>
      <c r="J63">
        <v>10</v>
      </c>
    </row>
    <row r="64" spans="1:10" x14ac:dyDescent="0.25">
      <c r="A64" t="s">
        <v>198</v>
      </c>
      <c r="B64" t="s">
        <v>197</v>
      </c>
      <c r="C64">
        <v>72527273135</v>
      </c>
      <c r="D64" t="s">
        <v>12</v>
      </c>
      <c r="E64" t="s">
        <v>13</v>
      </c>
      <c r="F64" t="s">
        <v>14</v>
      </c>
      <c r="G64">
        <v>20</v>
      </c>
      <c r="H64" t="s">
        <v>15</v>
      </c>
      <c r="I64" s="1">
        <v>48.92</v>
      </c>
      <c r="J64">
        <v>7</v>
      </c>
    </row>
    <row r="65" spans="1:10" x14ac:dyDescent="0.25">
      <c r="A65" t="s">
        <v>200</v>
      </c>
      <c r="B65" t="s">
        <v>199</v>
      </c>
      <c r="C65">
        <v>72527273136</v>
      </c>
      <c r="D65" t="s">
        <v>18</v>
      </c>
      <c r="E65" t="s">
        <v>201</v>
      </c>
      <c r="F65" t="s">
        <v>101</v>
      </c>
      <c r="G65">
        <v>30</v>
      </c>
      <c r="H65" t="s">
        <v>21</v>
      </c>
      <c r="I65" s="1">
        <v>48.05</v>
      </c>
      <c r="J65">
        <v>3</v>
      </c>
    </row>
    <row r="66" spans="1:10" x14ac:dyDescent="0.25">
      <c r="A66" t="s">
        <v>203</v>
      </c>
      <c r="B66" t="s">
        <v>202</v>
      </c>
      <c r="C66">
        <v>72527273137</v>
      </c>
      <c r="D66" t="s">
        <v>12</v>
      </c>
      <c r="E66" t="s">
        <v>13</v>
      </c>
      <c r="F66" t="s">
        <v>14</v>
      </c>
      <c r="G66">
        <v>22</v>
      </c>
      <c r="H66" t="s">
        <v>15</v>
      </c>
      <c r="I66" s="1">
        <v>16.98</v>
      </c>
      <c r="J66">
        <v>4</v>
      </c>
    </row>
    <row r="67" spans="1:10" x14ac:dyDescent="0.25">
      <c r="A67" t="s">
        <v>205</v>
      </c>
      <c r="B67" t="s">
        <v>204</v>
      </c>
      <c r="C67">
        <v>72527273138</v>
      </c>
      <c r="D67" t="s">
        <v>206</v>
      </c>
      <c r="E67" t="s">
        <v>207</v>
      </c>
      <c r="F67" t="s">
        <v>132</v>
      </c>
      <c r="G67">
        <v>25</v>
      </c>
      <c r="H67" t="s">
        <v>206</v>
      </c>
      <c r="I67" s="1">
        <v>38.049999999999997</v>
      </c>
      <c r="J67">
        <v>4</v>
      </c>
    </row>
    <row r="68" spans="1:10" x14ac:dyDescent="0.25">
      <c r="A68" t="s">
        <v>209</v>
      </c>
      <c r="B68" t="s">
        <v>208</v>
      </c>
      <c r="C68">
        <v>72527273139</v>
      </c>
      <c r="D68" t="s">
        <v>18</v>
      </c>
      <c r="E68" t="s">
        <v>100</v>
      </c>
      <c r="F68" t="s">
        <v>161</v>
      </c>
      <c r="G68">
        <v>50</v>
      </c>
      <c r="H68" t="s">
        <v>21</v>
      </c>
      <c r="I68" s="1">
        <v>2.0299999999999998</v>
      </c>
      <c r="J68">
        <v>10</v>
      </c>
    </row>
    <row r="69" spans="1:10" x14ac:dyDescent="0.25">
      <c r="A69" t="s">
        <v>211</v>
      </c>
      <c r="B69" t="s">
        <v>210</v>
      </c>
      <c r="C69">
        <v>72527273140</v>
      </c>
      <c r="D69" t="s">
        <v>12</v>
      </c>
      <c r="E69" t="s">
        <v>47</v>
      </c>
      <c r="F69" t="s">
        <v>14</v>
      </c>
      <c r="G69">
        <v>41</v>
      </c>
      <c r="H69" t="s">
        <v>15</v>
      </c>
      <c r="I69" s="1">
        <v>47.92</v>
      </c>
      <c r="J69">
        <v>4</v>
      </c>
    </row>
    <row r="70" spans="1:10" x14ac:dyDescent="0.25">
      <c r="A70" t="s">
        <v>213</v>
      </c>
      <c r="B70" t="s">
        <v>212</v>
      </c>
      <c r="C70">
        <v>72527273141</v>
      </c>
      <c r="D70" t="s">
        <v>18</v>
      </c>
      <c r="E70" t="s">
        <v>96</v>
      </c>
      <c r="F70" t="s">
        <v>214</v>
      </c>
      <c r="G70">
        <v>25</v>
      </c>
      <c r="H70" t="s">
        <v>21</v>
      </c>
      <c r="I70" s="1">
        <v>45.98</v>
      </c>
      <c r="J70">
        <v>7</v>
      </c>
    </row>
    <row r="71" spans="1:10" x14ac:dyDescent="0.25">
      <c r="A71" t="s">
        <v>216</v>
      </c>
      <c r="B71" t="s">
        <v>215</v>
      </c>
      <c r="C71">
        <v>72527273142</v>
      </c>
      <c r="D71" t="s">
        <v>12</v>
      </c>
      <c r="E71" t="s">
        <v>47</v>
      </c>
      <c r="F71" t="s">
        <v>217</v>
      </c>
      <c r="G71">
        <v>21</v>
      </c>
      <c r="H71" t="s">
        <v>15</v>
      </c>
      <c r="I71" s="1">
        <v>47.03</v>
      </c>
      <c r="J71">
        <v>7</v>
      </c>
    </row>
    <row r="72" spans="1:10" x14ac:dyDescent="0.25">
      <c r="A72" t="s">
        <v>82</v>
      </c>
      <c r="B72" t="s">
        <v>218</v>
      </c>
      <c r="C72">
        <v>72527273143</v>
      </c>
      <c r="D72" t="s">
        <v>18</v>
      </c>
      <c r="E72" t="s">
        <v>19</v>
      </c>
      <c r="F72" t="s">
        <v>20</v>
      </c>
      <c r="G72">
        <v>48</v>
      </c>
      <c r="H72" t="s">
        <v>21</v>
      </c>
      <c r="I72" s="1">
        <v>7.13</v>
      </c>
      <c r="J72">
        <v>2</v>
      </c>
    </row>
    <row r="73" spans="1:10" x14ac:dyDescent="0.25">
      <c r="A73" t="s">
        <v>220</v>
      </c>
      <c r="B73" t="s">
        <v>219</v>
      </c>
      <c r="C73">
        <v>72527273144</v>
      </c>
      <c r="D73" t="s">
        <v>12</v>
      </c>
      <c r="E73" t="s">
        <v>13</v>
      </c>
      <c r="F73" t="s">
        <v>221</v>
      </c>
      <c r="G73">
        <v>39</v>
      </c>
      <c r="H73" t="s">
        <v>15</v>
      </c>
      <c r="I73" s="1">
        <v>40.03</v>
      </c>
      <c r="J73">
        <v>5</v>
      </c>
    </row>
    <row r="74" spans="1:10" x14ac:dyDescent="0.25">
      <c r="A74" t="s">
        <v>223</v>
      </c>
      <c r="B74" t="s">
        <v>222</v>
      </c>
      <c r="C74">
        <v>72527273145</v>
      </c>
      <c r="D74" t="s">
        <v>18</v>
      </c>
      <c r="E74" t="s">
        <v>186</v>
      </c>
      <c r="F74" t="s">
        <v>20</v>
      </c>
      <c r="G74">
        <v>34</v>
      </c>
      <c r="H74" t="s">
        <v>21</v>
      </c>
      <c r="I74" s="1">
        <v>47.22</v>
      </c>
      <c r="J74">
        <v>8</v>
      </c>
    </row>
    <row r="75" spans="1:10" x14ac:dyDescent="0.25">
      <c r="A75" t="s">
        <v>225</v>
      </c>
      <c r="B75" t="s">
        <v>224</v>
      </c>
      <c r="C75">
        <v>72527273146</v>
      </c>
      <c r="D75" t="s">
        <v>12</v>
      </c>
      <c r="E75" t="s">
        <v>13</v>
      </c>
      <c r="F75" t="s">
        <v>226</v>
      </c>
      <c r="G75">
        <v>43</v>
      </c>
      <c r="H75" t="s">
        <v>15</v>
      </c>
      <c r="I75" s="1">
        <v>14.37</v>
      </c>
      <c r="J75">
        <v>6</v>
      </c>
    </row>
    <row r="76" spans="1:10" x14ac:dyDescent="0.25">
      <c r="A76" t="s">
        <v>228</v>
      </c>
      <c r="B76" t="s">
        <v>227</v>
      </c>
      <c r="C76">
        <v>72527273147</v>
      </c>
      <c r="D76" t="s">
        <v>18</v>
      </c>
      <c r="E76" t="s">
        <v>64</v>
      </c>
      <c r="F76" t="s">
        <v>101</v>
      </c>
      <c r="G76">
        <v>17</v>
      </c>
      <c r="H76" t="s">
        <v>21</v>
      </c>
      <c r="I76" s="1">
        <v>3.05</v>
      </c>
      <c r="J76">
        <v>2</v>
      </c>
    </row>
    <row r="77" spans="1:10" x14ac:dyDescent="0.25">
      <c r="A77" t="s">
        <v>55</v>
      </c>
      <c r="B77" t="s">
        <v>229</v>
      </c>
      <c r="C77">
        <v>72527273148</v>
      </c>
      <c r="D77" t="s">
        <v>12</v>
      </c>
      <c r="E77" t="s">
        <v>56</v>
      </c>
      <c r="F77" t="s">
        <v>57</v>
      </c>
      <c r="G77">
        <v>14</v>
      </c>
      <c r="H77" t="s">
        <v>15</v>
      </c>
      <c r="I77" s="1">
        <v>23.43</v>
      </c>
      <c r="J77">
        <v>10</v>
      </c>
    </row>
    <row r="78" spans="1:10" x14ac:dyDescent="0.25">
      <c r="A78" t="s">
        <v>231</v>
      </c>
      <c r="B78" t="s">
        <v>230</v>
      </c>
      <c r="C78">
        <v>72527273149</v>
      </c>
      <c r="D78" t="s">
        <v>18</v>
      </c>
      <c r="E78" t="s">
        <v>96</v>
      </c>
      <c r="F78" t="s">
        <v>232</v>
      </c>
      <c r="G78">
        <v>20</v>
      </c>
      <c r="H78" t="s">
        <v>21</v>
      </c>
      <c r="I78" s="1">
        <v>43.67</v>
      </c>
      <c r="J78">
        <v>5</v>
      </c>
    </row>
    <row r="79" spans="1:10" x14ac:dyDescent="0.25">
      <c r="A79" t="s">
        <v>234</v>
      </c>
      <c r="B79" t="s">
        <v>233</v>
      </c>
      <c r="C79">
        <v>72527273150</v>
      </c>
      <c r="D79" t="s">
        <v>12</v>
      </c>
      <c r="E79" t="s">
        <v>13</v>
      </c>
      <c r="F79" t="s">
        <v>14</v>
      </c>
      <c r="G79">
        <v>6</v>
      </c>
      <c r="H79" t="s">
        <v>15</v>
      </c>
      <c r="I79" s="1">
        <v>17.97</v>
      </c>
      <c r="J79">
        <v>6</v>
      </c>
    </row>
    <row r="80" spans="1:10" x14ac:dyDescent="0.25">
      <c r="A80" t="s">
        <v>236</v>
      </c>
      <c r="B80" t="s">
        <v>235</v>
      </c>
      <c r="C80">
        <v>72527273151</v>
      </c>
      <c r="D80" t="s">
        <v>18</v>
      </c>
      <c r="E80" t="s">
        <v>64</v>
      </c>
      <c r="F80" t="s">
        <v>65</v>
      </c>
      <c r="G80">
        <v>20</v>
      </c>
      <c r="H80" t="s">
        <v>21</v>
      </c>
      <c r="I80" s="1">
        <v>16.04</v>
      </c>
      <c r="J80">
        <v>7</v>
      </c>
    </row>
    <row r="81" spans="1:10" x14ac:dyDescent="0.25">
      <c r="A81" t="s">
        <v>238</v>
      </c>
      <c r="B81" t="s">
        <v>237</v>
      </c>
      <c r="C81">
        <v>72527273152</v>
      </c>
      <c r="D81" t="s">
        <v>12</v>
      </c>
      <c r="E81" t="s">
        <v>37</v>
      </c>
      <c r="F81" t="s">
        <v>239</v>
      </c>
      <c r="G81">
        <v>12</v>
      </c>
      <c r="H81" t="s">
        <v>15</v>
      </c>
      <c r="I81" s="1">
        <v>7.61</v>
      </c>
      <c r="J81">
        <v>3</v>
      </c>
    </row>
    <row r="82" spans="1:10" x14ac:dyDescent="0.25">
      <c r="A82" t="s">
        <v>241</v>
      </c>
      <c r="B82" t="s">
        <v>240</v>
      </c>
      <c r="C82">
        <v>72527273153</v>
      </c>
      <c r="D82" t="s">
        <v>18</v>
      </c>
      <c r="E82" t="s">
        <v>64</v>
      </c>
      <c r="F82" t="s">
        <v>242</v>
      </c>
      <c r="G82">
        <v>41</v>
      </c>
      <c r="H82" t="s">
        <v>21</v>
      </c>
      <c r="I82" s="1">
        <v>38.630000000000003</v>
      </c>
      <c r="J82">
        <v>10</v>
      </c>
    </row>
    <row r="83" spans="1:10" x14ac:dyDescent="0.25">
      <c r="A83" t="s">
        <v>244</v>
      </c>
      <c r="B83" t="s">
        <v>243</v>
      </c>
      <c r="C83">
        <v>72527273154</v>
      </c>
      <c r="D83" t="s">
        <v>12</v>
      </c>
      <c r="E83" t="s">
        <v>13</v>
      </c>
      <c r="F83" t="s">
        <v>245</v>
      </c>
      <c r="G83">
        <v>9</v>
      </c>
      <c r="H83" t="s">
        <v>15</v>
      </c>
      <c r="I83" s="1">
        <v>48.2</v>
      </c>
      <c r="J83">
        <v>6</v>
      </c>
    </row>
    <row r="84" spans="1:10" x14ac:dyDescent="0.25">
      <c r="A84" t="s">
        <v>95</v>
      </c>
      <c r="B84" t="s">
        <v>246</v>
      </c>
      <c r="C84">
        <v>72527273155</v>
      </c>
      <c r="D84" t="s">
        <v>18</v>
      </c>
      <c r="E84" t="s">
        <v>96</v>
      </c>
      <c r="F84" t="s">
        <v>97</v>
      </c>
      <c r="G84">
        <v>38</v>
      </c>
      <c r="H84" t="s">
        <v>21</v>
      </c>
      <c r="I84" s="1">
        <v>31.7</v>
      </c>
      <c r="J84">
        <v>9</v>
      </c>
    </row>
    <row r="85" spans="1:10" x14ac:dyDescent="0.25">
      <c r="A85" t="s">
        <v>248</v>
      </c>
      <c r="B85" t="s">
        <v>247</v>
      </c>
      <c r="C85">
        <v>72527273156</v>
      </c>
      <c r="D85" t="s">
        <v>12</v>
      </c>
      <c r="E85" t="s">
        <v>119</v>
      </c>
      <c r="F85" t="s">
        <v>14</v>
      </c>
      <c r="G85">
        <v>35</v>
      </c>
      <c r="H85" t="s">
        <v>15</v>
      </c>
      <c r="I85" s="1">
        <v>30.33</v>
      </c>
      <c r="J85">
        <v>5</v>
      </c>
    </row>
    <row r="86" spans="1:10" x14ac:dyDescent="0.25">
      <c r="A86" t="s">
        <v>250</v>
      </c>
      <c r="B86" t="s">
        <v>249</v>
      </c>
      <c r="C86">
        <v>72527273157</v>
      </c>
      <c r="D86" t="s">
        <v>18</v>
      </c>
      <c r="E86" t="s">
        <v>60</v>
      </c>
      <c r="F86" t="s">
        <v>251</v>
      </c>
      <c r="G86">
        <v>9</v>
      </c>
      <c r="H86" t="s">
        <v>21</v>
      </c>
      <c r="I86" s="1">
        <v>7.05</v>
      </c>
      <c r="J86">
        <v>3</v>
      </c>
    </row>
    <row r="87" spans="1:10" x14ac:dyDescent="0.25">
      <c r="A87" t="s">
        <v>253</v>
      </c>
      <c r="B87" t="s">
        <v>252</v>
      </c>
      <c r="C87">
        <v>72527273158</v>
      </c>
      <c r="D87" t="s">
        <v>12</v>
      </c>
      <c r="E87" t="s">
        <v>13</v>
      </c>
      <c r="F87" t="s">
        <v>14</v>
      </c>
      <c r="G87">
        <v>0</v>
      </c>
      <c r="H87" t="s">
        <v>15</v>
      </c>
      <c r="I87" s="1">
        <v>43.18</v>
      </c>
      <c r="J87">
        <v>4</v>
      </c>
    </row>
    <row r="88" spans="1:10" x14ac:dyDescent="0.25">
      <c r="A88" t="s">
        <v>255</v>
      </c>
      <c r="B88" t="s">
        <v>254</v>
      </c>
      <c r="C88">
        <v>72527273159</v>
      </c>
      <c r="D88" t="s">
        <v>18</v>
      </c>
      <c r="E88" t="s">
        <v>60</v>
      </c>
      <c r="F88" t="s">
        <v>256</v>
      </c>
      <c r="G88">
        <v>39</v>
      </c>
      <c r="H88" t="s">
        <v>21</v>
      </c>
      <c r="I88" s="1">
        <v>21.4</v>
      </c>
      <c r="J88">
        <v>4</v>
      </c>
    </row>
    <row r="89" spans="1:10" x14ac:dyDescent="0.25">
      <c r="A89" t="s">
        <v>258</v>
      </c>
      <c r="B89" t="s">
        <v>257</v>
      </c>
      <c r="C89">
        <v>72527273160</v>
      </c>
      <c r="D89" t="s">
        <v>12</v>
      </c>
      <c r="E89" t="s">
        <v>37</v>
      </c>
      <c r="F89" t="s">
        <v>14</v>
      </c>
      <c r="G89">
        <v>41</v>
      </c>
      <c r="H89" t="s">
        <v>15</v>
      </c>
      <c r="I89" s="1">
        <v>12.9</v>
      </c>
      <c r="J89">
        <v>8</v>
      </c>
    </row>
    <row r="90" spans="1:10" x14ac:dyDescent="0.25">
      <c r="A90" t="s">
        <v>260</v>
      </c>
      <c r="B90" t="s">
        <v>259</v>
      </c>
      <c r="C90">
        <v>72527273161</v>
      </c>
      <c r="D90" t="s">
        <v>18</v>
      </c>
      <c r="E90" t="s">
        <v>261</v>
      </c>
      <c r="F90" t="s">
        <v>20</v>
      </c>
      <c r="G90">
        <v>2</v>
      </c>
      <c r="H90" t="s">
        <v>21</v>
      </c>
      <c r="I90" s="1">
        <v>37.020000000000003</v>
      </c>
      <c r="J90">
        <v>10</v>
      </c>
    </row>
    <row r="91" spans="1:10" x14ac:dyDescent="0.25">
      <c r="A91" t="s">
        <v>263</v>
      </c>
      <c r="B91" t="s">
        <v>262</v>
      </c>
      <c r="C91">
        <v>72527273162</v>
      </c>
      <c r="D91" t="s">
        <v>12</v>
      </c>
      <c r="E91" t="s">
        <v>47</v>
      </c>
      <c r="F91" t="s">
        <v>48</v>
      </c>
      <c r="G91">
        <v>22</v>
      </c>
      <c r="H91" t="s">
        <v>15</v>
      </c>
      <c r="I91" s="1">
        <v>37.200000000000003</v>
      </c>
      <c r="J91">
        <v>6</v>
      </c>
    </row>
    <row r="92" spans="1:10" x14ac:dyDescent="0.25">
      <c r="A92" t="s">
        <v>265</v>
      </c>
      <c r="B92" t="s">
        <v>264</v>
      </c>
      <c r="C92">
        <v>72527273163</v>
      </c>
      <c r="D92" t="s">
        <v>18</v>
      </c>
      <c r="E92" t="s">
        <v>266</v>
      </c>
      <c r="F92" t="s">
        <v>267</v>
      </c>
      <c r="G92">
        <v>25</v>
      </c>
      <c r="H92" t="s">
        <v>21</v>
      </c>
      <c r="I92" s="1">
        <v>8.26</v>
      </c>
      <c r="J92">
        <v>1</v>
      </c>
    </row>
    <row r="93" spans="1:10" x14ac:dyDescent="0.25">
      <c r="A93" t="s">
        <v>269</v>
      </c>
      <c r="B93" t="s">
        <v>268</v>
      </c>
      <c r="C93">
        <v>72527273164</v>
      </c>
      <c r="D93" t="s">
        <v>12</v>
      </c>
      <c r="E93" t="s">
        <v>13</v>
      </c>
      <c r="F93" t="s">
        <v>14</v>
      </c>
      <c r="G93">
        <v>19</v>
      </c>
      <c r="H93" t="s">
        <v>15</v>
      </c>
      <c r="I93" s="1">
        <v>15.34</v>
      </c>
      <c r="J93">
        <v>7</v>
      </c>
    </row>
    <row r="94" spans="1:10" x14ac:dyDescent="0.25">
      <c r="A94" t="s">
        <v>271</v>
      </c>
      <c r="B94" t="s">
        <v>270</v>
      </c>
      <c r="C94">
        <v>72527273165</v>
      </c>
      <c r="D94" t="s">
        <v>18</v>
      </c>
      <c r="E94" t="s">
        <v>201</v>
      </c>
      <c r="F94" t="s">
        <v>101</v>
      </c>
      <c r="G94">
        <v>29</v>
      </c>
      <c r="H94" t="s">
        <v>21</v>
      </c>
      <c r="I94" s="1">
        <v>25.78</v>
      </c>
      <c r="J94">
        <v>7</v>
      </c>
    </row>
    <row r="95" spans="1:10" x14ac:dyDescent="0.25">
      <c r="A95" t="s">
        <v>273</v>
      </c>
      <c r="B95" t="s">
        <v>272</v>
      </c>
      <c r="C95">
        <v>72527273166</v>
      </c>
      <c r="D95" t="s">
        <v>12</v>
      </c>
      <c r="E95" t="s">
        <v>37</v>
      </c>
      <c r="F95" t="s">
        <v>274</v>
      </c>
      <c r="G95">
        <v>24</v>
      </c>
      <c r="H95" t="s">
        <v>15</v>
      </c>
      <c r="I95" s="1">
        <v>15.56</v>
      </c>
      <c r="J95">
        <v>2</v>
      </c>
    </row>
    <row r="96" spans="1:10" x14ac:dyDescent="0.25">
      <c r="A96" t="s">
        <v>276</v>
      </c>
      <c r="B96" t="s">
        <v>275</v>
      </c>
      <c r="C96">
        <v>72527273167</v>
      </c>
      <c r="D96" t="s">
        <v>18</v>
      </c>
      <c r="E96" t="s">
        <v>164</v>
      </c>
      <c r="F96" t="s">
        <v>132</v>
      </c>
      <c r="G96">
        <v>35</v>
      </c>
      <c r="H96" t="s">
        <v>21</v>
      </c>
      <c r="I96" s="1">
        <v>6.49</v>
      </c>
      <c r="J96">
        <v>7</v>
      </c>
    </row>
    <row r="97" spans="1:10" x14ac:dyDescent="0.25">
      <c r="A97" t="s">
        <v>278</v>
      </c>
      <c r="B97" t="s">
        <v>277</v>
      </c>
      <c r="C97">
        <v>72527273168</v>
      </c>
      <c r="D97" t="s">
        <v>12</v>
      </c>
      <c r="E97" t="s">
        <v>13</v>
      </c>
      <c r="F97" t="s">
        <v>279</v>
      </c>
      <c r="G97">
        <v>44</v>
      </c>
      <c r="H97" t="s">
        <v>15</v>
      </c>
      <c r="I97" s="1">
        <v>20.85</v>
      </c>
      <c r="J97">
        <v>7</v>
      </c>
    </row>
    <row r="98" spans="1:10" x14ac:dyDescent="0.25">
      <c r="A98" t="s">
        <v>281</v>
      </c>
      <c r="B98" t="s">
        <v>280</v>
      </c>
      <c r="C98">
        <v>72527273169</v>
      </c>
      <c r="D98" t="s">
        <v>18</v>
      </c>
      <c r="E98" t="s">
        <v>60</v>
      </c>
      <c r="F98" t="s">
        <v>282</v>
      </c>
      <c r="G98">
        <v>18</v>
      </c>
      <c r="H98" t="s">
        <v>21</v>
      </c>
      <c r="I98" s="1">
        <v>25.3</v>
      </c>
      <c r="J98">
        <v>3</v>
      </c>
    </row>
  </sheetData>
  <mergeCells count="1">
    <mergeCell ref="L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7CD10-E47D-4E0D-88D7-4BA8D2B4C350}">
  <sheetPr filterMode="1"/>
  <dimension ref="A1:S102"/>
  <sheetViews>
    <sheetView workbookViewId="0">
      <selection activeCell="E2" sqref="E2"/>
    </sheetView>
  </sheetViews>
  <sheetFormatPr defaultRowHeight="15" x14ac:dyDescent="0.25"/>
  <cols>
    <col min="1" max="1" width="22.85546875" bestFit="1" customWidth="1"/>
    <col min="2" max="2" width="24" bestFit="1" customWidth="1"/>
    <col min="3" max="3" width="12" bestFit="1" customWidth="1"/>
    <col min="4" max="4" width="15.140625" bestFit="1" customWidth="1"/>
    <col min="5" max="5" width="19.140625" bestFit="1" customWidth="1"/>
    <col min="6" max="6" width="16.140625" bestFit="1" customWidth="1"/>
    <col min="7" max="7" width="11.7109375" bestFit="1" customWidth="1"/>
    <col min="8" max="8" width="16.85546875" bestFit="1" customWidth="1"/>
    <col min="9" max="9" width="7.85546875" bestFit="1" customWidth="1"/>
    <col min="10" max="10" width="5.5703125" bestFit="1" customWidth="1"/>
    <col min="11" max="12" width="13.85546875" bestFit="1" customWidth="1"/>
    <col min="13" max="13" width="16.5703125" bestFit="1" customWidth="1"/>
    <col min="14" max="14" width="11.7109375" bestFit="1" customWidth="1"/>
  </cols>
  <sheetData>
    <row r="1" spans="1:16" ht="18.75" x14ac:dyDescent="0.3">
      <c r="A1" s="12" t="s">
        <v>2</v>
      </c>
      <c r="B1" s="12" t="s">
        <v>0</v>
      </c>
      <c r="C1" s="12" t="s">
        <v>1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</row>
    <row r="2" spans="1:16" x14ac:dyDescent="0.25">
      <c r="D2" t="s">
        <v>18</v>
      </c>
      <c r="E2" t="s">
        <v>64</v>
      </c>
    </row>
    <row r="4" spans="1:16" x14ac:dyDescent="0.25">
      <c r="L4" s="11"/>
    </row>
    <row r="5" spans="1:16" ht="18.75" x14ac:dyDescent="0.3">
      <c r="A5" s="2" t="s">
        <v>2</v>
      </c>
      <c r="B5" s="2" t="s">
        <v>0</v>
      </c>
      <c r="C5" s="2" t="s">
        <v>1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10"/>
      <c r="L5" s="10"/>
    </row>
    <row r="6" spans="1:16" hidden="1" x14ac:dyDescent="0.25">
      <c r="A6" t="s">
        <v>11</v>
      </c>
      <c r="B6" t="s">
        <v>10</v>
      </c>
      <c r="C6">
        <v>72527273070</v>
      </c>
      <c r="D6" t="s">
        <v>12</v>
      </c>
      <c r="E6" t="s">
        <v>13</v>
      </c>
      <c r="F6" t="s">
        <v>14</v>
      </c>
      <c r="G6">
        <v>29</v>
      </c>
      <c r="H6" t="s">
        <v>15</v>
      </c>
      <c r="I6" s="1">
        <v>21</v>
      </c>
      <c r="J6">
        <v>4</v>
      </c>
      <c r="K6" s="11"/>
      <c r="L6" s="11" t="s">
        <v>18</v>
      </c>
      <c r="M6" s="11"/>
      <c r="N6" s="11"/>
      <c r="O6" s="11"/>
      <c r="P6" s="11"/>
    </row>
    <row r="7" spans="1:16" hidden="1" x14ac:dyDescent="0.25">
      <c r="A7" t="s">
        <v>17</v>
      </c>
      <c r="B7" t="s">
        <v>16</v>
      </c>
      <c r="C7">
        <v>72527273071</v>
      </c>
      <c r="D7" t="s">
        <v>18</v>
      </c>
      <c r="E7" t="s">
        <v>19</v>
      </c>
      <c r="F7" t="s">
        <v>20</v>
      </c>
      <c r="G7">
        <v>45</v>
      </c>
      <c r="H7" t="s">
        <v>21</v>
      </c>
      <c r="I7" s="1">
        <v>5.98</v>
      </c>
      <c r="J7">
        <v>4</v>
      </c>
      <c r="K7" s="11"/>
      <c r="L7" s="13"/>
      <c r="M7" s="11"/>
      <c r="N7" s="11"/>
      <c r="O7" s="11"/>
      <c r="P7" s="11"/>
    </row>
    <row r="8" spans="1:16" hidden="1" x14ac:dyDescent="0.25">
      <c r="A8" t="s">
        <v>23</v>
      </c>
      <c r="B8" t="s">
        <v>22</v>
      </c>
      <c r="C8">
        <v>72527273072</v>
      </c>
      <c r="D8" t="s">
        <v>12</v>
      </c>
      <c r="E8" t="s">
        <v>24</v>
      </c>
      <c r="F8" t="s">
        <v>25</v>
      </c>
      <c r="G8">
        <v>24</v>
      </c>
      <c r="H8" t="s">
        <v>15</v>
      </c>
      <c r="I8" s="1">
        <v>47.09</v>
      </c>
      <c r="J8">
        <v>2</v>
      </c>
      <c r="L8" s="11"/>
      <c r="M8" s="11"/>
      <c r="N8" s="11"/>
      <c r="O8" s="11"/>
      <c r="P8" s="11"/>
    </row>
    <row r="9" spans="1:16" hidden="1" x14ac:dyDescent="0.25">
      <c r="A9" t="s">
        <v>27</v>
      </c>
      <c r="B9" t="s">
        <v>26</v>
      </c>
      <c r="C9">
        <v>72527273073</v>
      </c>
      <c r="D9" t="s">
        <v>12</v>
      </c>
      <c r="E9" t="s">
        <v>13</v>
      </c>
      <c r="F9" t="s">
        <v>28</v>
      </c>
      <c r="G9">
        <v>24</v>
      </c>
      <c r="H9" t="s">
        <v>15</v>
      </c>
      <c r="I9" s="1">
        <v>30.59</v>
      </c>
      <c r="J9">
        <v>10</v>
      </c>
    </row>
    <row r="10" spans="1:16" hidden="1" x14ac:dyDescent="0.25">
      <c r="A10" t="s">
        <v>30</v>
      </c>
      <c r="B10" t="s">
        <v>29</v>
      </c>
      <c r="C10">
        <v>72527273074</v>
      </c>
      <c r="D10" t="s">
        <v>18</v>
      </c>
      <c r="E10" t="s">
        <v>19</v>
      </c>
      <c r="F10" t="s">
        <v>20</v>
      </c>
      <c r="G10">
        <v>45</v>
      </c>
      <c r="H10" t="s">
        <v>21</v>
      </c>
      <c r="I10" s="1">
        <v>26.29</v>
      </c>
      <c r="J10">
        <v>2</v>
      </c>
      <c r="L10" s="13"/>
    </row>
    <row r="11" spans="1:16" hidden="1" x14ac:dyDescent="0.25">
      <c r="A11" t="s">
        <v>32</v>
      </c>
      <c r="B11" t="s">
        <v>31</v>
      </c>
      <c r="C11">
        <v>72527273075</v>
      </c>
      <c r="D11" t="s">
        <v>18</v>
      </c>
      <c r="E11" t="s">
        <v>33</v>
      </c>
      <c r="F11" t="s">
        <v>34</v>
      </c>
      <c r="G11">
        <v>7</v>
      </c>
      <c r="H11" t="s">
        <v>21</v>
      </c>
      <c r="I11" s="1">
        <v>41.24</v>
      </c>
      <c r="J11">
        <v>8</v>
      </c>
    </row>
    <row r="12" spans="1:16" hidden="1" x14ac:dyDescent="0.25">
      <c r="A12" t="s">
        <v>36</v>
      </c>
      <c r="B12" t="s">
        <v>35</v>
      </c>
      <c r="C12">
        <v>72527273076</v>
      </c>
      <c r="D12" t="s">
        <v>12</v>
      </c>
      <c r="E12" t="s">
        <v>37</v>
      </c>
      <c r="F12" t="s">
        <v>38</v>
      </c>
      <c r="G12">
        <v>7</v>
      </c>
      <c r="H12" t="s">
        <v>15</v>
      </c>
      <c r="I12" s="1">
        <v>16.690000000000001</v>
      </c>
      <c r="J12">
        <v>9</v>
      </c>
    </row>
    <row r="13" spans="1:16" hidden="1" x14ac:dyDescent="0.25">
      <c r="A13" t="s">
        <v>40</v>
      </c>
      <c r="B13" t="s">
        <v>39</v>
      </c>
      <c r="C13">
        <v>72527273077</v>
      </c>
      <c r="D13" t="s">
        <v>12</v>
      </c>
      <c r="E13" t="s">
        <v>37</v>
      </c>
      <c r="F13" t="s">
        <v>41</v>
      </c>
      <c r="G13">
        <v>20</v>
      </c>
      <c r="H13" t="s">
        <v>15</v>
      </c>
      <c r="I13" s="1">
        <v>42.8</v>
      </c>
      <c r="J13">
        <v>8</v>
      </c>
    </row>
    <row r="14" spans="1:16" hidden="1" x14ac:dyDescent="0.25">
      <c r="A14" t="s">
        <v>43</v>
      </c>
      <c r="B14" t="s">
        <v>42</v>
      </c>
      <c r="C14">
        <v>72527273078</v>
      </c>
      <c r="D14" t="s">
        <v>18</v>
      </c>
      <c r="E14" t="s">
        <v>44</v>
      </c>
      <c r="F14" t="s">
        <v>20</v>
      </c>
      <c r="G14">
        <v>4</v>
      </c>
      <c r="H14" t="s">
        <v>21</v>
      </c>
      <c r="I14" s="1">
        <v>36.840000000000003</v>
      </c>
      <c r="J14">
        <v>5</v>
      </c>
    </row>
    <row r="15" spans="1:16" hidden="1" x14ac:dyDescent="0.25">
      <c r="A15" t="s">
        <v>46</v>
      </c>
      <c r="B15" t="s">
        <v>45</v>
      </c>
      <c r="C15">
        <v>72527273079</v>
      </c>
      <c r="D15" t="s">
        <v>12</v>
      </c>
      <c r="E15" t="s">
        <v>47</v>
      </c>
      <c r="F15" t="s">
        <v>48</v>
      </c>
      <c r="G15">
        <v>15</v>
      </c>
      <c r="H15" t="s">
        <v>15</v>
      </c>
      <c r="I15" s="1">
        <v>46.15</v>
      </c>
      <c r="J15">
        <v>10</v>
      </c>
    </row>
    <row r="16" spans="1:16" hidden="1" x14ac:dyDescent="0.25">
      <c r="A16" t="s">
        <v>50</v>
      </c>
      <c r="B16" t="s">
        <v>49</v>
      </c>
      <c r="C16">
        <v>72527273080</v>
      </c>
      <c r="D16" t="s">
        <v>18</v>
      </c>
      <c r="E16" t="s">
        <v>19</v>
      </c>
      <c r="F16" t="s">
        <v>20</v>
      </c>
      <c r="G16">
        <v>15</v>
      </c>
      <c r="H16" t="s">
        <v>21</v>
      </c>
      <c r="I16" s="1">
        <v>9.25</v>
      </c>
      <c r="J16">
        <v>2</v>
      </c>
    </row>
    <row r="17" spans="1:10" hidden="1" x14ac:dyDescent="0.25">
      <c r="A17" t="s">
        <v>52</v>
      </c>
      <c r="B17" t="s">
        <v>51</v>
      </c>
      <c r="C17">
        <v>72527273081</v>
      </c>
      <c r="D17" t="s">
        <v>12</v>
      </c>
      <c r="E17" t="s">
        <v>37</v>
      </c>
      <c r="F17" t="s">
        <v>53</v>
      </c>
      <c r="G17">
        <v>22</v>
      </c>
      <c r="H17" t="s">
        <v>15</v>
      </c>
      <c r="I17" s="1">
        <v>33.08</v>
      </c>
      <c r="J17">
        <v>1</v>
      </c>
    </row>
    <row r="18" spans="1:10" hidden="1" x14ac:dyDescent="0.25">
      <c r="A18" t="s">
        <v>55</v>
      </c>
      <c r="B18" t="s">
        <v>54</v>
      </c>
      <c r="C18">
        <v>72527273082</v>
      </c>
      <c r="D18" t="s">
        <v>12</v>
      </c>
      <c r="E18" t="s">
        <v>56</v>
      </c>
      <c r="F18" t="s">
        <v>57</v>
      </c>
      <c r="G18">
        <v>38</v>
      </c>
      <c r="H18" t="s">
        <v>15</v>
      </c>
      <c r="I18" s="1">
        <v>24.41</v>
      </c>
      <c r="J18">
        <v>1</v>
      </c>
    </row>
    <row r="19" spans="1:10" hidden="1" x14ac:dyDescent="0.25">
      <c r="A19" t="s">
        <v>59</v>
      </c>
      <c r="B19" t="s">
        <v>58</v>
      </c>
      <c r="C19">
        <v>72527273083</v>
      </c>
      <c r="D19" t="s">
        <v>18</v>
      </c>
      <c r="E19" t="s">
        <v>60</v>
      </c>
      <c r="F19" t="s">
        <v>61</v>
      </c>
      <c r="G19">
        <v>7</v>
      </c>
      <c r="H19" t="s">
        <v>21</v>
      </c>
      <c r="I19" s="1">
        <v>42.1</v>
      </c>
      <c r="J19">
        <v>10</v>
      </c>
    </row>
    <row r="20" spans="1:10" x14ac:dyDescent="0.25">
      <c r="A20" t="s">
        <v>63</v>
      </c>
      <c r="B20" t="s">
        <v>62</v>
      </c>
      <c r="C20">
        <v>72527273084</v>
      </c>
      <c r="D20" t="s">
        <v>18</v>
      </c>
      <c r="E20" t="s">
        <v>64</v>
      </c>
      <c r="F20" t="s">
        <v>65</v>
      </c>
      <c r="G20">
        <v>9</v>
      </c>
      <c r="H20" t="s">
        <v>21</v>
      </c>
      <c r="I20" s="1">
        <v>6.92</v>
      </c>
      <c r="J20">
        <v>5</v>
      </c>
    </row>
    <row r="21" spans="1:10" hidden="1" x14ac:dyDescent="0.25">
      <c r="A21" t="s">
        <v>67</v>
      </c>
      <c r="B21" t="s">
        <v>66</v>
      </c>
      <c r="C21">
        <v>72527273085</v>
      </c>
      <c r="D21" t="s">
        <v>12</v>
      </c>
      <c r="E21" t="s">
        <v>13</v>
      </c>
      <c r="F21" t="s">
        <v>14</v>
      </c>
      <c r="G21">
        <v>49</v>
      </c>
      <c r="H21" t="s">
        <v>15</v>
      </c>
      <c r="I21" s="1">
        <v>37.9</v>
      </c>
      <c r="J21">
        <v>1</v>
      </c>
    </row>
    <row r="22" spans="1:10" x14ac:dyDescent="0.25">
      <c r="A22" t="s">
        <v>69</v>
      </c>
      <c r="B22" t="s">
        <v>68</v>
      </c>
      <c r="C22">
        <v>72527273086</v>
      </c>
      <c r="D22" t="s">
        <v>18</v>
      </c>
      <c r="E22" t="s">
        <v>64</v>
      </c>
      <c r="F22" t="s">
        <v>20</v>
      </c>
      <c r="G22">
        <v>41</v>
      </c>
      <c r="H22" t="s">
        <v>21</v>
      </c>
      <c r="I22" s="1">
        <v>40.67</v>
      </c>
      <c r="J22">
        <v>5</v>
      </c>
    </row>
    <row r="23" spans="1:10" hidden="1" x14ac:dyDescent="0.25">
      <c r="A23" t="s">
        <v>71</v>
      </c>
      <c r="B23" t="s">
        <v>70</v>
      </c>
      <c r="C23">
        <v>72527273087</v>
      </c>
      <c r="D23" t="s">
        <v>12</v>
      </c>
      <c r="E23" t="s">
        <v>13</v>
      </c>
      <c r="F23" t="s">
        <v>72</v>
      </c>
      <c r="G23">
        <v>46</v>
      </c>
      <c r="H23" t="s">
        <v>15</v>
      </c>
      <c r="I23" s="1">
        <v>18.350000000000001</v>
      </c>
      <c r="J23">
        <v>8</v>
      </c>
    </row>
    <row r="24" spans="1:10" hidden="1" x14ac:dyDescent="0.25">
      <c r="A24" t="s">
        <v>74</v>
      </c>
      <c r="B24" t="s">
        <v>73</v>
      </c>
      <c r="C24">
        <v>72527273088</v>
      </c>
      <c r="D24" t="s">
        <v>12</v>
      </c>
      <c r="E24" t="s">
        <v>37</v>
      </c>
      <c r="F24" t="s">
        <v>75</v>
      </c>
      <c r="G24">
        <v>47</v>
      </c>
      <c r="H24" t="s">
        <v>15</v>
      </c>
      <c r="I24" s="1">
        <v>42.41</v>
      </c>
      <c r="J24">
        <v>3</v>
      </c>
    </row>
    <row r="25" spans="1:10" hidden="1" x14ac:dyDescent="0.25">
      <c r="A25" t="s">
        <v>77</v>
      </c>
      <c r="B25" t="s">
        <v>76</v>
      </c>
      <c r="C25">
        <v>72527273089</v>
      </c>
      <c r="D25" t="s">
        <v>18</v>
      </c>
      <c r="E25" t="s">
        <v>19</v>
      </c>
      <c r="F25" t="s">
        <v>20</v>
      </c>
      <c r="G25">
        <v>41</v>
      </c>
      <c r="H25" t="s">
        <v>21</v>
      </c>
      <c r="I25" s="1">
        <v>19.46</v>
      </c>
      <c r="J25">
        <v>2</v>
      </c>
    </row>
    <row r="26" spans="1:10" hidden="1" x14ac:dyDescent="0.25">
      <c r="A26" t="s">
        <v>79</v>
      </c>
      <c r="B26" t="s">
        <v>78</v>
      </c>
      <c r="C26">
        <v>72527273090</v>
      </c>
      <c r="D26" t="s">
        <v>12</v>
      </c>
      <c r="E26" t="s">
        <v>37</v>
      </c>
      <c r="F26" t="s">
        <v>80</v>
      </c>
      <c r="G26">
        <v>16</v>
      </c>
      <c r="H26" t="s">
        <v>15</v>
      </c>
      <c r="I26" s="1">
        <v>27.78</v>
      </c>
      <c r="J26">
        <v>9</v>
      </c>
    </row>
    <row r="27" spans="1:10" hidden="1" x14ac:dyDescent="0.25">
      <c r="A27" t="s">
        <v>82</v>
      </c>
      <c r="B27" t="s">
        <v>81</v>
      </c>
      <c r="C27">
        <v>72527273091</v>
      </c>
      <c r="D27" t="s">
        <v>18</v>
      </c>
      <c r="E27" t="s">
        <v>19</v>
      </c>
      <c r="F27" t="s">
        <v>20</v>
      </c>
      <c r="G27">
        <v>43</v>
      </c>
      <c r="H27" t="s">
        <v>21</v>
      </c>
      <c r="I27" s="1">
        <v>39.06</v>
      </c>
      <c r="J27">
        <v>2</v>
      </c>
    </row>
    <row r="28" spans="1:10" hidden="1" x14ac:dyDescent="0.25">
      <c r="A28" t="s">
        <v>84</v>
      </c>
      <c r="B28" t="s">
        <v>83</v>
      </c>
      <c r="C28">
        <v>72527273092</v>
      </c>
      <c r="D28" t="s">
        <v>18</v>
      </c>
      <c r="E28" t="s">
        <v>85</v>
      </c>
      <c r="F28" t="s">
        <v>86</v>
      </c>
      <c r="G28">
        <v>8</v>
      </c>
      <c r="H28" t="s">
        <v>21</v>
      </c>
      <c r="I28" s="1">
        <v>19.13</v>
      </c>
      <c r="J28">
        <v>9</v>
      </c>
    </row>
    <row r="29" spans="1:10" hidden="1" x14ac:dyDescent="0.25">
      <c r="A29" t="s">
        <v>88</v>
      </c>
      <c r="B29" t="s">
        <v>87</v>
      </c>
      <c r="C29">
        <v>72527273093</v>
      </c>
      <c r="D29" t="s">
        <v>12</v>
      </c>
      <c r="E29" t="s">
        <v>13</v>
      </c>
      <c r="F29" t="s">
        <v>89</v>
      </c>
      <c r="G29">
        <v>50</v>
      </c>
      <c r="H29" t="s">
        <v>15</v>
      </c>
      <c r="I29" s="1">
        <v>11.93</v>
      </c>
      <c r="J29">
        <v>3</v>
      </c>
    </row>
    <row r="30" spans="1:10" hidden="1" x14ac:dyDescent="0.25">
      <c r="A30" t="s">
        <v>91</v>
      </c>
      <c r="B30" t="s">
        <v>90</v>
      </c>
      <c r="C30">
        <v>72527273094</v>
      </c>
      <c r="D30" t="s">
        <v>12</v>
      </c>
      <c r="E30" t="s">
        <v>92</v>
      </c>
      <c r="F30" t="s">
        <v>93</v>
      </c>
      <c r="G30">
        <v>25</v>
      </c>
      <c r="H30" t="s">
        <v>15</v>
      </c>
      <c r="I30" s="1">
        <v>30.42</v>
      </c>
      <c r="J30">
        <v>6</v>
      </c>
    </row>
    <row r="31" spans="1:10" hidden="1" x14ac:dyDescent="0.25">
      <c r="A31" t="s">
        <v>95</v>
      </c>
      <c r="B31" t="s">
        <v>94</v>
      </c>
      <c r="C31">
        <v>72527273095</v>
      </c>
      <c r="D31" t="s">
        <v>18</v>
      </c>
      <c r="E31" t="s">
        <v>96</v>
      </c>
      <c r="F31" t="s">
        <v>97</v>
      </c>
      <c r="G31">
        <v>38</v>
      </c>
      <c r="H31" t="s">
        <v>21</v>
      </c>
      <c r="I31" s="1">
        <v>12.22</v>
      </c>
      <c r="J31">
        <v>8</v>
      </c>
    </row>
    <row r="32" spans="1:10" hidden="1" x14ac:dyDescent="0.25">
      <c r="A32" t="s">
        <v>99</v>
      </c>
      <c r="B32" t="s">
        <v>98</v>
      </c>
      <c r="C32">
        <v>72527273096</v>
      </c>
      <c r="D32" t="s">
        <v>18</v>
      </c>
      <c r="E32" t="s">
        <v>100</v>
      </c>
      <c r="F32" t="s">
        <v>101</v>
      </c>
      <c r="G32">
        <v>50</v>
      </c>
      <c r="H32" t="s">
        <v>21</v>
      </c>
      <c r="I32" s="1">
        <v>24.8</v>
      </c>
      <c r="J32">
        <v>4</v>
      </c>
    </row>
    <row r="33" spans="1:19" hidden="1" x14ac:dyDescent="0.25">
      <c r="A33" t="s">
        <v>103</v>
      </c>
      <c r="B33" t="s">
        <v>102</v>
      </c>
      <c r="C33">
        <v>72527273097</v>
      </c>
      <c r="D33" t="s">
        <v>12</v>
      </c>
      <c r="E33" t="s">
        <v>13</v>
      </c>
      <c r="F33" t="s">
        <v>14</v>
      </c>
      <c r="G33">
        <v>10</v>
      </c>
      <c r="H33" t="s">
        <v>15</v>
      </c>
      <c r="I33" s="1">
        <v>7.62</v>
      </c>
      <c r="J33">
        <v>10</v>
      </c>
    </row>
    <row r="34" spans="1:19" hidden="1" x14ac:dyDescent="0.25">
      <c r="A34" t="s">
        <v>105</v>
      </c>
      <c r="B34" t="s">
        <v>104</v>
      </c>
      <c r="C34">
        <v>72527273098</v>
      </c>
      <c r="D34" t="s">
        <v>12</v>
      </c>
      <c r="E34" t="s">
        <v>13</v>
      </c>
      <c r="F34" t="s">
        <v>106</v>
      </c>
      <c r="G34">
        <v>19</v>
      </c>
      <c r="H34" t="s">
        <v>15</v>
      </c>
      <c r="I34" s="1">
        <v>47.44</v>
      </c>
      <c r="J34">
        <v>4</v>
      </c>
    </row>
    <row r="35" spans="1:19" hidden="1" x14ac:dyDescent="0.25">
      <c r="A35" t="s">
        <v>108</v>
      </c>
      <c r="B35" t="s">
        <v>107</v>
      </c>
      <c r="C35">
        <v>72527273099</v>
      </c>
      <c r="D35" t="s">
        <v>12</v>
      </c>
      <c r="E35" t="s">
        <v>37</v>
      </c>
      <c r="F35" t="s">
        <v>109</v>
      </c>
      <c r="G35">
        <v>34</v>
      </c>
      <c r="H35" t="s">
        <v>15</v>
      </c>
      <c r="I35" s="1">
        <v>28.73</v>
      </c>
      <c r="J35">
        <v>2</v>
      </c>
    </row>
    <row r="36" spans="1:19" hidden="1" x14ac:dyDescent="0.25">
      <c r="A36" t="s">
        <v>111</v>
      </c>
      <c r="B36" t="s">
        <v>110</v>
      </c>
      <c r="C36">
        <v>72527273100</v>
      </c>
      <c r="D36" t="s">
        <v>12</v>
      </c>
      <c r="E36" t="s">
        <v>37</v>
      </c>
      <c r="F36" t="s">
        <v>112</v>
      </c>
      <c r="G36">
        <v>37</v>
      </c>
      <c r="H36" t="s">
        <v>15</v>
      </c>
      <c r="I36" s="1">
        <v>1.44</v>
      </c>
      <c r="J36">
        <v>9</v>
      </c>
    </row>
    <row r="37" spans="1:19" x14ac:dyDescent="0.25">
      <c r="A37" t="s">
        <v>114</v>
      </c>
      <c r="B37" t="s">
        <v>113</v>
      </c>
      <c r="C37">
        <v>72527273101</v>
      </c>
      <c r="D37" t="s">
        <v>18</v>
      </c>
      <c r="E37" t="s">
        <v>64</v>
      </c>
      <c r="F37" t="s">
        <v>101</v>
      </c>
      <c r="G37">
        <v>28</v>
      </c>
      <c r="H37" t="s">
        <v>21</v>
      </c>
      <c r="I37" s="1">
        <v>49.23</v>
      </c>
      <c r="J37">
        <v>9</v>
      </c>
    </row>
    <row r="38" spans="1:19" hidden="1" x14ac:dyDescent="0.25">
      <c r="A38" t="s">
        <v>116</v>
      </c>
      <c r="B38" t="s">
        <v>115</v>
      </c>
      <c r="C38">
        <v>72527273103</v>
      </c>
      <c r="D38" t="s">
        <v>18</v>
      </c>
      <c r="E38" t="s">
        <v>100</v>
      </c>
      <c r="F38" t="s">
        <v>34</v>
      </c>
      <c r="G38">
        <v>4</v>
      </c>
      <c r="H38" t="s">
        <v>21</v>
      </c>
      <c r="I38" s="1">
        <v>40.24</v>
      </c>
      <c r="J38">
        <v>10</v>
      </c>
      <c r="P38" s="11"/>
      <c r="Q38" s="11"/>
      <c r="R38" s="11"/>
      <c r="S38" s="11"/>
    </row>
    <row r="39" spans="1:19" ht="18.75" hidden="1" x14ac:dyDescent="0.3">
      <c r="A39" t="s">
        <v>118</v>
      </c>
      <c r="B39" t="s">
        <v>117</v>
      </c>
      <c r="C39">
        <v>72527273104</v>
      </c>
      <c r="D39" t="s">
        <v>12</v>
      </c>
      <c r="E39" t="s">
        <v>119</v>
      </c>
      <c r="F39" t="s">
        <v>120</v>
      </c>
      <c r="G39">
        <v>41</v>
      </c>
      <c r="H39" t="s">
        <v>15</v>
      </c>
      <c r="I39" s="1">
        <v>41.81</v>
      </c>
      <c r="J39">
        <v>8</v>
      </c>
      <c r="P39" s="10"/>
      <c r="Q39" s="10"/>
      <c r="R39" s="10"/>
      <c r="S39" s="11"/>
    </row>
    <row r="40" spans="1:19" hidden="1" x14ac:dyDescent="0.25">
      <c r="A40" t="s">
        <v>122</v>
      </c>
      <c r="B40" t="s">
        <v>121</v>
      </c>
      <c r="C40">
        <v>72527273105</v>
      </c>
      <c r="D40" t="s">
        <v>12</v>
      </c>
      <c r="E40" t="s">
        <v>37</v>
      </c>
      <c r="F40" t="s">
        <v>123</v>
      </c>
      <c r="G40">
        <v>45</v>
      </c>
      <c r="H40" t="s">
        <v>15</v>
      </c>
      <c r="I40" s="1">
        <v>3.01</v>
      </c>
      <c r="J40">
        <v>2</v>
      </c>
      <c r="P40" s="11"/>
      <c r="Q40" s="11"/>
      <c r="R40" s="11"/>
      <c r="S40" s="11"/>
    </row>
    <row r="41" spans="1:19" hidden="1" x14ac:dyDescent="0.25">
      <c r="A41" t="s">
        <v>125</v>
      </c>
      <c r="B41" t="s">
        <v>124</v>
      </c>
      <c r="C41">
        <v>72527273106</v>
      </c>
      <c r="D41" t="s">
        <v>18</v>
      </c>
      <c r="E41" t="s">
        <v>19</v>
      </c>
      <c r="F41" t="s">
        <v>61</v>
      </c>
      <c r="G41">
        <v>37</v>
      </c>
      <c r="H41" t="s">
        <v>21</v>
      </c>
      <c r="I41" s="1">
        <v>32.950000000000003</v>
      </c>
      <c r="J41">
        <v>8</v>
      </c>
      <c r="P41" s="11"/>
      <c r="Q41" s="11"/>
      <c r="R41" s="11"/>
      <c r="S41" s="11"/>
    </row>
    <row r="42" spans="1:19" hidden="1" x14ac:dyDescent="0.25">
      <c r="A42" t="s">
        <v>127</v>
      </c>
      <c r="B42" t="s">
        <v>126</v>
      </c>
      <c r="C42">
        <v>72527273107</v>
      </c>
      <c r="D42" t="s">
        <v>12</v>
      </c>
      <c r="E42" t="s">
        <v>13</v>
      </c>
      <c r="F42" t="s">
        <v>128</v>
      </c>
      <c r="G42">
        <v>33</v>
      </c>
      <c r="H42" t="s">
        <v>15</v>
      </c>
      <c r="I42" s="1">
        <v>13.34</v>
      </c>
      <c r="J42">
        <v>3</v>
      </c>
      <c r="P42" s="11"/>
      <c r="Q42" s="11"/>
      <c r="R42" s="11"/>
      <c r="S42" s="11"/>
    </row>
    <row r="43" spans="1:19" hidden="1" x14ac:dyDescent="0.25">
      <c r="A43" t="s">
        <v>130</v>
      </c>
      <c r="B43" t="s">
        <v>129</v>
      </c>
      <c r="C43">
        <v>72527273108</v>
      </c>
      <c r="D43" t="s">
        <v>18</v>
      </c>
      <c r="E43" t="s">
        <v>131</v>
      </c>
      <c r="F43" t="s">
        <v>132</v>
      </c>
      <c r="G43">
        <v>24</v>
      </c>
      <c r="H43" t="s">
        <v>21</v>
      </c>
      <c r="I43" s="1">
        <v>41.93</v>
      </c>
      <c r="J43">
        <v>10</v>
      </c>
      <c r="P43" s="11"/>
      <c r="Q43" s="11"/>
      <c r="R43" s="11"/>
      <c r="S43" s="11"/>
    </row>
    <row r="44" spans="1:19" hidden="1" x14ac:dyDescent="0.25">
      <c r="A44" t="s">
        <v>134</v>
      </c>
      <c r="B44" t="s">
        <v>133</v>
      </c>
      <c r="C44">
        <v>72527273109</v>
      </c>
      <c r="D44" t="s">
        <v>12</v>
      </c>
      <c r="E44" t="s">
        <v>47</v>
      </c>
      <c r="F44" t="s">
        <v>14</v>
      </c>
      <c r="G44">
        <v>24</v>
      </c>
      <c r="H44" t="s">
        <v>15</v>
      </c>
      <c r="I44" s="1">
        <v>35.14</v>
      </c>
      <c r="J44">
        <v>1</v>
      </c>
      <c r="P44" s="11"/>
      <c r="Q44" s="11"/>
      <c r="R44" s="11"/>
      <c r="S44" s="11"/>
    </row>
    <row r="45" spans="1:19" hidden="1" x14ac:dyDescent="0.25">
      <c r="A45" t="s">
        <v>136</v>
      </c>
      <c r="B45" t="s">
        <v>135</v>
      </c>
      <c r="C45">
        <v>72527273110</v>
      </c>
      <c r="D45" t="s">
        <v>18</v>
      </c>
      <c r="E45" t="s">
        <v>96</v>
      </c>
      <c r="F45" t="s">
        <v>97</v>
      </c>
      <c r="G45">
        <v>39</v>
      </c>
      <c r="H45" t="s">
        <v>21</v>
      </c>
      <c r="I45" s="1">
        <v>28.69</v>
      </c>
      <c r="J45">
        <v>10</v>
      </c>
    </row>
    <row r="46" spans="1:19" hidden="1" x14ac:dyDescent="0.25">
      <c r="A46" t="s">
        <v>138</v>
      </c>
      <c r="B46" t="s">
        <v>137</v>
      </c>
      <c r="C46">
        <v>72527273112</v>
      </c>
      <c r="D46" t="s">
        <v>18</v>
      </c>
      <c r="E46" t="s">
        <v>96</v>
      </c>
      <c r="F46" t="s">
        <v>101</v>
      </c>
      <c r="G46">
        <v>46</v>
      </c>
      <c r="H46" t="s">
        <v>21</v>
      </c>
      <c r="I46" s="1">
        <v>13.63</v>
      </c>
      <c r="J46">
        <v>7</v>
      </c>
    </row>
    <row r="47" spans="1:19" hidden="1" x14ac:dyDescent="0.25">
      <c r="A47" t="s">
        <v>140</v>
      </c>
      <c r="B47" t="s">
        <v>139</v>
      </c>
      <c r="C47">
        <v>72527273113</v>
      </c>
      <c r="D47" t="s">
        <v>12</v>
      </c>
      <c r="E47" t="s">
        <v>37</v>
      </c>
      <c r="F47" t="s">
        <v>80</v>
      </c>
      <c r="G47">
        <v>32</v>
      </c>
      <c r="H47" t="s">
        <v>15</v>
      </c>
      <c r="I47" s="1">
        <v>35.49</v>
      </c>
      <c r="J47">
        <v>2</v>
      </c>
    </row>
    <row r="48" spans="1:19" hidden="1" x14ac:dyDescent="0.25">
      <c r="A48" t="s">
        <v>142</v>
      </c>
      <c r="B48" t="s">
        <v>141</v>
      </c>
      <c r="C48">
        <v>72527273114</v>
      </c>
      <c r="D48" t="s">
        <v>12</v>
      </c>
      <c r="E48" t="s">
        <v>13</v>
      </c>
      <c r="F48" t="s">
        <v>14</v>
      </c>
      <c r="G48">
        <v>21</v>
      </c>
      <c r="H48" t="s">
        <v>15</v>
      </c>
      <c r="I48" s="1">
        <v>7</v>
      </c>
      <c r="J48">
        <v>3</v>
      </c>
    </row>
    <row r="49" spans="1:10" hidden="1" x14ac:dyDescent="0.25">
      <c r="A49" t="s">
        <v>144</v>
      </c>
      <c r="B49" t="s">
        <v>143</v>
      </c>
      <c r="C49">
        <v>72527273115</v>
      </c>
      <c r="D49" t="s">
        <v>18</v>
      </c>
      <c r="E49" t="s">
        <v>60</v>
      </c>
      <c r="F49" t="s">
        <v>61</v>
      </c>
      <c r="G49">
        <v>4</v>
      </c>
      <c r="H49" t="s">
        <v>21</v>
      </c>
      <c r="I49" s="1">
        <v>36.729999999999997</v>
      </c>
      <c r="J49">
        <v>2</v>
      </c>
    </row>
    <row r="50" spans="1:10" hidden="1" x14ac:dyDescent="0.25">
      <c r="A50" t="s">
        <v>146</v>
      </c>
      <c r="B50" t="s">
        <v>145</v>
      </c>
      <c r="C50">
        <v>72527273116</v>
      </c>
      <c r="D50" t="s">
        <v>12</v>
      </c>
      <c r="E50" t="s">
        <v>13</v>
      </c>
      <c r="F50" t="s">
        <v>147</v>
      </c>
      <c r="G50">
        <v>39</v>
      </c>
      <c r="H50" t="s">
        <v>15</v>
      </c>
      <c r="I50" s="1">
        <v>5.35</v>
      </c>
      <c r="J50">
        <v>2</v>
      </c>
    </row>
    <row r="51" spans="1:10" hidden="1" x14ac:dyDescent="0.25">
      <c r="A51" t="s">
        <v>149</v>
      </c>
      <c r="B51" t="s">
        <v>148</v>
      </c>
      <c r="C51">
        <v>72527273117</v>
      </c>
      <c r="D51" t="s">
        <v>18</v>
      </c>
      <c r="E51" t="s">
        <v>150</v>
      </c>
      <c r="F51" t="s">
        <v>61</v>
      </c>
      <c r="G51">
        <v>6</v>
      </c>
      <c r="H51" t="s">
        <v>21</v>
      </c>
      <c r="I51" s="1">
        <v>3.25</v>
      </c>
      <c r="J51">
        <v>3</v>
      </c>
    </row>
    <row r="52" spans="1:10" hidden="1" x14ac:dyDescent="0.25">
      <c r="A52" t="s">
        <v>152</v>
      </c>
      <c r="B52" t="s">
        <v>151</v>
      </c>
      <c r="C52">
        <v>72527273118</v>
      </c>
      <c r="D52" t="s">
        <v>12</v>
      </c>
      <c r="E52" t="s">
        <v>13</v>
      </c>
      <c r="F52" t="s">
        <v>153</v>
      </c>
      <c r="G52">
        <v>4</v>
      </c>
      <c r="H52" t="s">
        <v>15</v>
      </c>
      <c r="I52" s="1">
        <v>32.85</v>
      </c>
      <c r="J52">
        <v>6</v>
      </c>
    </row>
    <row r="53" spans="1:10" hidden="1" x14ac:dyDescent="0.25">
      <c r="A53" t="s">
        <v>155</v>
      </c>
      <c r="B53" t="s">
        <v>154</v>
      </c>
      <c r="C53">
        <v>72527273119</v>
      </c>
      <c r="D53" t="s">
        <v>18</v>
      </c>
      <c r="E53" t="s">
        <v>150</v>
      </c>
      <c r="F53" t="s">
        <v>20</v>
      </c>
      <c r="G53">
        <v>20</v>
      </c>
      <c r="H53" t="s">
        <v>21</v>
      </c>
      <c r="I53" s="1">
        <v>17.98</v>
      </c>
      <c r="J53">
        <v>9</v>
      </c>
    </row>
    <row r="54" spans="1:10" hidden="1" x14ac:dyDescent="0.25">
      <c r="A54" t="s">
        <v>157</v>
      </c>
      <c r="B54" t="s">
        <v>156</v>
      </c>
      <c r="C54">
        <v>72527273120</v>
      </c>
      <c r="D54" t="s">
        <v>12</v>
      </c>
      <c r="E54" t="s">
        <v>37</v>
      </c>
      <c r="F54" t="s">
        <v>14</v>
      </c>
      <c r="G54">
        <v>20</v>
      </c>
      <c r="H54" t="s">
        <v>15</v>
      </c>
      <c r="I54" s="1">
        <v>48.48</v>
      </c>
      <c r="J54">
        <v>8</v>
      </c>
    </row>
    <row r="55" spans="1:10" hidden="1" x14ac:dyDescent="0.25">
      <c r="A55" t="s">
        <v>159</v>
      </c>
      <c r="B55" t="s">
        <v>158</v>
      </c>
      <c r="C55">
        <v>72527273121</v>
      </c>
      <c r="D55" t="s">
        <v>12</v>
      </c>
      <c r="E55" t="s">
        <v>160</v>
      </c>
      <c r="F55" t="s">
        <v>161</v>
      </c>
      <c r="G55">
        <v>4</v>
      </c>
      <c r="H55" t="s">
        <v>15</v>
      </c>
      <c r="I55" s="1">
        <v>35.700000000000003</v>
      </c>
      <c r="J55">
        <v>2</v>
      </c>
    </row>
    <row r="56" spans="1:10" hidden="1" x14ac:dyDescent="0.25">
      <c r="A56" t="s">
        <v>163</v>
      </c>
      <c r="B56" t="s">
        <v>162</v>
      </c>
      <c r="C56">
        <v>72527273122</v>
      </c>
      <c r="D56" t="s">
        <v>18</v>
      </c>
      <c r="E56" t="s">
        <v>164</v>
      </c>
      <c r="F56" t="s">
        <v>132</v>
      </c>
      <c r="G56">
        <v>49</v>
      </c>
      <c r="H56" t="s">
        <v>21</v>
      </c>
      <c r="I56" s="1">
        <v>48.48</v>
      </c>
      <c r="J56">
        <v>5</v>
      </c>
    </row>
    <row r="57" spans="1:10" hidden="1" x14ac:dyDescent="0.25">
      <c r="A57" t="s">
        <v>166</v>
      </c>
      <c r="B57" t="s">
        <v>165</v>
      </c>
      <c r="C57">
        <v>72527273124</v>
      </c>
      <c r="D57" t="s">
        <v>18</v>
      </c>
      <c r="E57" t="s">
        <v>60</v>
      </c>
      <c r="F57" t="s">
        <v>167</v>
      </c>
      <c r="G57">
        <v>27</v>
      </c>
      <c r="H57" t="s">
        <v>21</v>
      </c>
      <c r="I57" s="1">
        <v>20.37</v>
      </c>
      <c r="J57">
        <v>3</v>
      </c>
    </row>
    <row r="58" spans="1:10" hidden="1" x14ac:dyDescent="0.25">
      <c r="A58" t="s">
        <v>169</v>
      </c>
      <c r="B58" t="s">
        <v>168</v>
      </c>
      <c r="C58">
        <v>72527273125</v>
      </c>
      <c r="D58" t="s">
        <v>12</v>
      </c>
      <c r="E58" t="s">
        <v>37</v>
      </c>
      <c r="F58" t="s">
        <v>170</v>
      </c>
      <c r="G58">
        <v>46</v>
      </c>
      <c r="H58" t="s">
        <v>15</v>
      </c>
      <c r="I58" s="1">
        <v>32.869999999999997</v>
      </c>
      <c r="J58">
        <v>1</v>
      </c>
    </row>
    <row r="59" spans="1:10" hidden="1" x14ac:dyDescent="0.25">
      <c r="A59" t="s">
        <v>172</v>
      </c>
      <c r="B59" t="s">
        <v>171</v>
      </c>
      <c r="C59">
        <v>72527273126</v>
      </c>
      <c r="D59" t="s">
        <v>18</v>
      </c>
      <c r="E59" t="s">
        <v>60</v>
      </c>
      <c r="F59" t="s">
        <v>173</v>
      </c>
      <c r="G59">
        <v>38</v>
      </c>
      <c r="H59" t="s">
        <v>21</v>
      </c>
      <c r="I59" s="1">
        <v>37.729999999999997</v>
      </c>
      <c r="J59">
        <v>10</v>
      </c>
    </row>
    <row r="60" spans="1:10" hidden="1" x14ac:dyDescent="0.25">
      <c r="A60" t="s">
        <v>175</v>
      </c>
      <c r="B60" t="s">
        <v>174</v>
      </c>
      <c r="C60">
        <v>72527273127</v>
      </c>
      <c r="D60" t="s">
        <v>18</v>
      </c>
      <c r="E60" t="s">
        <v>176</v>
      </c>
      <c r="F60" t="s">
        <v>61</v>
      </c>
      <c r="G60">
        <v>10</v>
      </c>
      <c r="H60" t="s">
        <v>21</v>
      </c>
      <c r="I60" s="1">
        <v>33.01</v>
      </c>
      <c r="J60">
        <v>4</v>
      </c>
    </row>
    <row r="61" spans="1:10" hidden="1" x14ac:dyDescent="0.25">
      <c r="A61" t="s">
        <v>178</v>
      </c>
      <c r="B61" t="s">
        <v>177</v>
      </c>
      <c r="C61">
        <v>72527273128</v>
      </c>
      <c r="D61" t="s">
        <v>12</v>
      </c>
      <c r="E61" t="s">
        <v>13</v>
      </c>
      <c r="F61" t="s">
        <v>14</v>
      </c>
      <c r="G61">
        <v>40</v>
      </c>
      <c r="H61" t="s">
        <v>15</v>
      </c>
      <c r="I61" s="1">
        <v>4.1100000000000003</v>
      </c>
      <c r="J61">
        <v>10</v>
      </c>
    </row>
    <row r="62" spans="1:10" hidden="1" x14ac:dyDescent="0.25">
      <c r="A62" t="s">
        <v>180</v>
      </c>
      <c r="B62" t="s">
        <v>179</v>
      </c>
      <c r="C62">
        <v>72527273129</v>
      </c>
      <c r="D62" t="s">
        <v>18</v>
      </c>
      <c r="E62" t="s">
        <v>150</v>
      </c>
      <c r="F62" t="s">
        <v>20</v>
      </c>
      <c r="G62">
        <v>37</v>
      </c>
      <c r="H62" t="s">
        <v>21</v>
      </c>
      <c r="I62" s="1">
        <v>16.989999999999998</v>
      </c>
      <c r="J62">
        <v>2</v>
      </c>
    </row>
    <row r="63" spans="1:10" hidden="1" x14ac:dyDescent="0.25">
      <c r="A63" t="s">
        <v>182</v>
      </c>
      <c r="B63" t="s">
        <v>181</v>
      </c>
      <c r="C63">
        <v>72527273130</v>
      </c>
      <c r="D63" t="s">
        <v>12</v>
      </c>
      <c r="E63" t="s">
        <v>13</v>
      </c>
      <c r="F63" t="s">
        <v>183</v>
      </c>
      <c r="G63">
        <v>2</v>
      </c>
      <c r="H63" t="s">
        <v>15</v>
      </c>
      <c r="I63" s="1">
        <v>4.1399999999999997</v>
      </c>
      <c r="J63">
        <v>3</v>
      </c>
    </row>
    <row r="64" spans="1:10" hidden="1" x14ac:dyDescent="0.25">
      <c r="A64" t="s">
        <v>185</v>
      </c>
      <c r="B64" t="s">
        <v>184</v>
      </c>
      <c r="C64">
        <v>72527273131</v>
      </c>
      <c r="D64" t="s">
        <v>18</v>
      </c>
      <c r="E64" t="s">
        <v>186</v>
      </c>
      <c r="F64" t="s">
        <v>20</v>
      </c>
      <c r="G64">
        <v>21</v>
      </c>
      <c r="H64" t="s">
        <v>21</v>
      </c>
      <c r="I64" s="1">
        <v>39.020000000000003</v>
      </c>
      <c r="J64">
        <v>9</v>
      </c>
    </row>
    <row r="65" spans="1:10" hidden="1" x14ac:dyDescent="0.25">
      <c r="A65" t="s">
        <v>188</v>
      </c>
      <c r="B65" t="s">
        <v>187</v>
      </c>
      <c r="C65">
        <v>72527273132</v>
      </c>
      <c r="D65" t="s">
        <v>12</v>
      </c>
      <c r="E65" t="s">
        <v>13</v>
      </c>
      <c r="F65" t="s">
        <v>189</v>
      </c>
      <c r="G65">
        <v>5</v>
      </c>
      <c r="H65" t="s">
        <v>15</v>
      </c>
      <c r="I65" s="1">
        <v>10.76</v>
      </c>
      <c r="J65">
        <v>6</v>
      </c>
    </row>
    <row r="66" spans="1:10" hidden="1" x14ac:dyDescent="0.25">
      <c r="A66" t="s">
        <v>191</v>
      </c>
      <c r="B66" t="s">
        <v>190</v>
      </c>
      <c r="C66">
        <v>72527273133</v>
      </c>
      <c r="D66" t="s">
        <v>12</v>
      </c>
      <c r="E66" t="s">
        <v>192</v>
      </c>
      <c r="F66" t="s">
        <v>193</v>
      </c>
      <c r="G66">
        <v>50</v>
      </c>
      <c r="H66" t="s">
        <v>15</v>
      </c>
      <c r="I66" s="1">
        <v>23.72</v>
      </c>
      <c r="J66">
        <v>9</v>
      </c>
    </row>
    <row r="67" spans="1:10" hidden="1" x14ac:dyDescent="0.25">
      <c r="A67" t="s">
        <v>195</v>
      </c>
      <c r="B67" t="s">
        <v>194</v>
      </c>
      <c r="C67">
        <v>72527273134</v>
      </c>
      <c r="D67" t="s">
        <v>18</v>
      </c>
      <c r="E67" t="s">
        <v>176</v>
      </c>
      <c r="F67" t="s">
        <v>196</v>
      </c>
      <c r="G67">
        <v>7</v>
      </c>
      <c r="H67" t="s">
        <v>21</v>
      </c>
      <c r="I67" s="1">
        <v>12.54</v>
      </c>
      <c r="J67">
        <v>10</v>
      </c>
    </row>
    <row r="68" spans="1:10" hidden="1" x14ac:dyDescent="0.25">
      <c r="A68" t="s">
        <v>198</v>
      </c>
      <c r="B68" t="s">
        <v>197</v>
      </c>
      <c r="C68">
        <v>72527273135</v>
      </c>
      <c r="D68" t="s">
        <v>12</v>
      </c>
      <c r="E68" t="s">
        <v>13</v>
      </c>
      <c r="F68" t="s">
        <v>14</v>
      </c>
      <c r="G68">
        <v>20</v>
      </c>
      <c r="H68" t="s">
        <v>15</v>
      </c>
      <c r="I68" s="1">
        <v>48.92</v>
      </c>
      <c r="J68">
        <v>7</v>
      </c>
    </row>
    <row r="69" spans="1:10" hidden="1" x14ac:dyDescent="0.25">
      <c r="A69" t="s">
        <v>200</v>
      </c>
      <c r="B69" t="s">
        <v>199</v>
      </c>
      <c r="C69">
        <v>72527273136</v>
      </c>
      <c r="D69" t="s">
        <v>18</v>
      </c>
      <c r="E69" t="s">
        <v>201</v>
      </c>
      <c r="F69" t="s">
        <v>101</v>
      </c>
      <c r="G69">
        <v>30</v>
      </c>
      <c r="H69" t="s">
        <v>21</v>
      </c>
      <c r="I69" s="1">
        <v>48.05</v>
      </c>
      <c r="J69">
        <v>3</v>
      </c>
    </row>
    <row r="70" spans="1:10" hidden="1" x14ac:dyDescent="0.25">
      <c r="A70" t="s">
        <v>203</v>
      </c>
      <c r="B70" t="s">
        <v>202</v>
      </c>
      <c r="C70">
        <v>72527273137</v>
      </c>
      <c r="D70" t="s">
        <v>12</v>
      </c>
      <c r="E70" t="s">
        <v>13</v>
      </c>
      <c r="F70" t="s">
        <v>14</v>
      </c>
      <c r="G70">
        <v>22</v>
      </c>
      <c r="H70" t="s">
        <v>15</v>
      </c>
      <c r="I70" s="1">
        <v>16.98</v>
      </c>
      <c r="J70">
        <v>4</v>
      </c>
    </row>
    <row r="71" spans="1:10" hidden="1" x14ac:dyDescent="0.25">
      <c r="A71" t="s">
        <v>205</v>
      </c>
      <c r="B71" t="s">
        <v>204</v>
      </c>
      <c r="C71">
        <v>72527273138</v>
      </c>
      <c r="D71" t="s">
        <v>206</v>
      </c>
      <c r="E71" t="s">
        <v>207</v>
      </c>
      <c r="F71" t="s">
        <v>132</v>
      </c>
      <c r="G71">
        <v>25</v>
      </c>
      <c r="H71" t="s">
        <v>206</v>
      </c>
      <c r="I71" s="1">
        <v>38.049999999999997</v>
      </c>
      <c r="J71">
        <v>4</v>
      </c>
    </row>
    <row r="72" spans="1:10" hidden="1" x14ac:dyDescent="0.25">
      <c r="A72" t="s">
        <v>209</v>
      </c>
      <c r="B72" t="s">
        <v>208</v>
      </c>
      <c r="C72">
        <v>72527273139</v>
      </c>
      <c r="D72" t="s">
        <v>18</v>
      </c>
      <c r="E72" t="s">
        <v>100</v>
      </c>
      <c r="F72" t="s">
        <v>161</v>
      </c>
      <c r="G72">
        <v>50</v>
      </c>
      <c r="H72" t="s">
        <v>21</v>
      </c>
      <c r="I72" s="1">
        <v>2.0299999999999998</v>
      </c>
      <c r="J72">
        <v>10</v>
      </c>
    </row>
    <row r="73" spans="1:10" hidden="1" x14ac:dyDescent="0.25">
      <c r="A73" t="s">
        <v>211</v>
      </c>
      <c r="B73" t="s">
        <v>210</v>
      </c>
      <c r="C73">
        <v>72527273140</v>
      </c>
      <c r="D73" t="s">
        <v>12</v>
      </c>
      <c r="E73" t="s">
        <v>47</v>
      </c>
      <c r="F73" t="s">
        <v>14</v>
      </c>
      <c r="G73">
        <v>41</v>
      </c>
      <c r="H73" t="s">
        <v>15</v>
      </c>
      <c r="I73" s="1">
        <v>47.92</v>
      </c>
      <c r="J73">
        <v>4</v>
      </c>
    </row>
    <row r="74" spans="1:10" hidden="1" x14ac:dyDescent="0.25">
      <c r="A74" t="s">
        <v>213</v>
      </c>
      <c r="B74" t="s">
        <v>212</v>
      </c>
      <c r="C74">
        <v>72527273141</v>
      </c>
      <c r="D74" t="s">
        <v>18</v>
      </c>
      <c r="E74" t="s">
        <v>96</v>
      </c>
      <c r="F74" t="s">
        <v>214</v>
      </c>
      <c r="G74">
        <v>25</v>
      </c>
      <c r="H74" t="s">
        <v>21</v>
      </c>
      <c r="I74" s="1">
        <v>45.98</v>
      </c>
      <c r="J74">
        <v>7</v>
      </c>
    </row>
    <row r="75" spans="1:10" hidden="1" x14ac:dyDescent="0.25">
      <c r="A75" t="s">
        <v>216</v>
      </c>
      <c r="B75" t="s">
        <v>215</v>
      </c>
      <c r="C75">
        <v>72527273142</v>
      </c>
      <c r="D75" t="s">
        <v>12</v>
      </c>
      <c r="E75" t="s">
        <v>47</v>
      </c>
      <c r="F75" t="s">
        <v>217</v>
      </c>
      <c r="G75">
        <v>21</v>
      </c>
      <c r="H75" t="s">
        <v>15</v>
      </c>
      <c r="I75" s="1">
        <v>47.03</v>
      </c>
      <c r="J75">
        <v>7</v>
      </c>
    </row>
    <row r="76" spans="1:10" hidden="1" x14ac:dyDescent="0.25">
      <c r="A76" t="s">
        <v>82</v>
      </c>
      <c r="B76" t="s">
        <v>218</v>
      </c>
      <c r="C76">
        <v>72527273143</v>
      </c>
      <c r="D76" t="s">
        <v>18</v>
      </c>
      <c r="E76" t="s">
        <v>19</v>
      </c>
      <c r="F76" t="s">
        <v>20</v>
      </c>
      <c r="G76">
        <v>48</v>
      </c>
      <c r="H76" t="s">
        <v>21</v>
      </c>
      <c r="I76" s="1">
        <v>7.13</v>
      </c>
      <c r="J76">
        <v>2</v>
      </c>
    </row>
    <row r="77" spans="1:10" hidden="1" x14ac:dyDescent="0.25">
      <c r="A77" t="s">
        <v>220</v>
      </c>
      <c r="B77" t="s">
        <v>219</v>
      </c>
      <c r="C77">
        <v>72527273144</v>
      </c>
      <c r="D77" t="s">
        <v>12</v>
      </c>
      <c r="E77" t="s">
        <v>13</v>
      </c>
      <c r="F77" t="s">
        <v>221</v>
      </c>
      <c r="G77">
        <v>39</v>
      </c>
      <c r="H77" t="s">
        <v>15</v>
      </c>
      <c r="I77" s="1">
        <v>40.03</v>
      </c>
      <c r="J77">
        <v>5</v>
      </c>
    </row>
    <row r="78" spans="1:10" hidden="1" x14ac:dyDescent="0.25">
      <c r="A78" t="s">
        <v>223</v>
      </c>
      <c r="B78" t="s">
        <v>222</v>
      </c>
      <c r="C78">
        <v>72527273145</v>
      </c>
      <c r="D78" t="s">
        <v>18</v>
      </c>
      <c r="E78" t="s">
        <v>186</v>
      </c>
      <c r="F78" t="s">
        <v>20</v>
      </c>
      <c r="G78">
        <v>34</v>
      </c>
      <c r="H78" t="s">
        <v>21</v>
      </c>
      <c r="I78" s="1">
        <v>47.22</v>
      </c>
      <c r="J78">
        <v>8</v>
      </c>
    </row>
    <row r="79" spans="1:10" hidden="1" x14ac:dyDescent="0.25">
      <c r="A79" t="s">
        <v>225</v>
      </c>
      <c r="B79" t="s">
        <v>224</v>
      </c>
      <c r="C79">
        <v>72527273146</v>
      </c>
      <c r="D79" t="s">
        <v>12</v>
      </c>
      <c r="E79" t="s">
        <v>13</v>
      </c>
      <c r="F79" t="s">
        <v>226</v>
      </c>
      <c r="G79">
        <v>43</v>
      </c>
      <c r="H79" t="s">
        <v>15</v>
      </c>
      <c r="I79" s="1">
        <v>14.37</v>
      </c>
      <c r="J79">
        <v>6</v>
      </c>
    </row>
    <row r="80" spans="1:10" x14ac:dyDescent="0.25">
      <c r="A80" t="s">
        <v>228</v>
      </c>
      <c r="B80" t="s">
        <v>227</v>
      </c>
      <c r="C80">
        <v>72527273147</v>
      </c>
      <c r="D80" t="s">
        <v>18</v>
      </c>
      <c r="E80" t="s">
        <v>64</v>
      </c>
      <c r="F80" t="s">
        <v>101</v>
      </c>
      <c r="G80">
        <v>17</v>
      </c>
      <c r="H80" t="s">
        <v>21</v>
      </c>
      <c r="I80" s="1">
        <v>3.05</v>
      </c>
      <c r="J80">
        <v>2</v>
      </c>
    </row>
    <row r="81" spans="1:10" hidden="1" x14ac:dyDescent="0.25">
      <c r="A81" t="s">
        <v>55</v>
      </c>
      <c r="B81" t="s">
        <v>229</v>
      </c>
      <c r="C81">
        <v>72527273148</v>
      </c>
      <c r="D81" t="s">
        <v>12</v>
      </c>
      <c r="E81" t="s">
        <v>56</v>
      </c>
      <c r="F81" t="s">
        <v>57</v>
      </c>
      <c r="G81">
        <v>14</v>
      </c>
      <c r="H81" t="s">
        <v>15</v>
      </c>
      <c r="I81" s="1">
        <v>23.43</v>
      </c>
      <c r="J81">
        <v>10</v>
      </c>
    </row>
    <row r="82" spans="1:10" hidden="1" x14ac:dyDescent="0.25">
      <c r="A82" t="s">
        <v>231</v>
      </c>
      <c r="B82" t="s">
        <v>230</v>
      </c>
      <c r="C82">
        <v>72527273149</v>
      </c>
      <c r="D82" t="s">
        <v>18</v>
      </c>
      <c r="E82" t="s">
        <v>96</v>
      </c>
      <c r="F82" t="s">
        <v>232</v>
      </c>
      <c r="G82">
        <v>20</v>
      </c>
      <c r="H82" t="s">
        <v>21</v>
      </c>
      <c r="I82" s="1">
        <v>43.67</v>
      </c>
      <c r="J82">
        <v>5</v>
      </c>
    </row>
    <row r="83" spans="1:10" hidden="1" x14ac:dyDescent="0.25">
      <c r="A83" t="s">
        <v>234</v>
      </c>
      <c r="B83" t="s">
        <v>233</v>
      </c>
      <c r="C83">
        <v>72527273150</v>
      </c>
      <c r="D83" t="s">
        <v>12</v>
      </c>
      <c r="E83" t="s">
        <v>13</v>
      </c>
      <c r="F83" t="s">
        <v>14</v>
      </c>
      <c r="G83">
        <v>6</v>
      </c>
      <c r="H83" t="s">
        <v>15</v>
      </c>
      <c r="I83" s="1">
        <v>17.97</v>
      </c>
      <c r="J83">
        <v>6</v>
      </c>
    </row>
    <row r="84" spans="1:10" x14ac:dyDescent="0.25">
      <c r="A84" t="s">
        <v>236</v>
      </c>
      <c r="B84" t="s">
        <v>235</v>
      </c>
      <c r="C84">
        <v>72527273151</v>
      </c>
      <c r="D84" t="s">
        <v>18</v>
      </c>
      <c r="E84" t="s">
        <v>64</v>
      </c>
      <c r="F84" t="s">
        <v>65</v>
      </c>
      <c r="G84">
        <v>20</v>
      </c>
      <c r="H84" t="s">
        <v>21</v>
      </c>
      <c r="I84" s="1">
        <v>16.04</v>
      </c>
      <c r="J84">
        <v>7</v>
      </c>
    </row>
    <row r="85" spans="1:10" hidden="1" x14ac:dyDescent="0.25">
      <c r="A85" t="s">
        <v>238</v>
      </c>
      <c r="B85" t="s">
        <v>237</v>
      </c>
      <c r="C85">
        <v>72527273152</v>
      </c>
      <c r="D85" t="s">
        <v>12</v>
      </c>
      <c r="E85" t="s">
        <v>37</v>
      </c>
      <c r="F85" t="s">
        <v>239</v>
      </c>
      <c r="G85">
        <v>12</v>
      </c>
      <c r="H85" t="s">
        <v>15</v>
      </c>
      <c r="I85" s="1">
        <v>7.61</v>
      </c>
      <c r="J85">
        <v>3</v>
      </c>
    </row>
    <row r="86" spans="1:10" x14ac:dyDescent="0.25">
      <c r="A86" t="s">
        <v>241</v>
      </c>
      <c r="B86" t="s">
        <v>240</v>
      </c>
      <c r="C86">
        <v>72527273153</v>
      </c>
      <c r="D86" t="s">
        <v>18</v>
      </c>
      <c r="E86" t="s">
        <v>64</v>
      </c>
      <c r="F86" t="s">
        <v>242</v>
      </c>
      <c r="G86">
        <v>41</v>
      </c>
      <c r="H86" t="s">
        <v>21</v>
      </c>
      <c r="I86" s="1">
        <v>38.630000000000003</v>
      </c>
      <c r="J86">
        <v>10</v>
      </c>
    </row>
    <row r="87" spans="1:10" hidden="1" x14ac:dyDescent="0.25">
      <c r="A87" t="s">
        <v>244</v>
      </c>
      <c r="B87" t="s">
        <v>243</v>
      </c>
      <c r="C87">
        <v>72527273154</v>
      </c>
      <c r="D87" t="s">
        <v>12</v>
      </c>
      <c r="E87" t="s">
        <v>13</v>
      </c>
      <c r="F87" t="s">
        <v>245</v>
      </c>
      <c r="G87">
        <v>9</v>
      </c>
      <c r="H87" t="s">
        <v>15</v>
      </c>
      <c r="I87" s="1">
        <v>48.2</v>
      </c>
      <c r="J87">
        <v>6</v>
      </c>
    </row>
    <row r="88" spans="1:10" hidden="1" x14ac:dyDescent="0.25">
      <c r="A88" t="s">
        <v>95</v>
      </c>
      <c r="B88" t="s">
        <v>246</v>
      </c>
      <c r="C88">
        <v>72527273155</v>
      </c>
      <c r="D88" t="s">
        <v>18</v>
      </c>
      <c r="E88" t="s">
        <v>96</v>
      </c>
      <c r="F88" t="s">
        <v>97</v>
      </c>
      <c r="G88">
        <v>38</v>
      </c>
      <c r="H88" t="s">
        <v>21</v>
      </c>
      <c r="I88" s="1">
        <v>31.7</v>
      </c>
      <c r="J88">
        <v>9</v>
      </c>
    </row>
    <row r="89" spans="1:10" hidden="1" x14ac:dyDescent="0.25">
      <c r="A89" t="s">
        <v>248</v>
      </c>
      <c r="B89" t="s">
        <v>247</v>
      </c>
      <c r="C89">
        <v>72527273156</v>
      </c>
      <c r="D89" t="s">
        <v>12</v>
      </c>
      <c r="E89" t="s">
        <v>119</v>
      </c>
      <c r="F89" t="s">
        <v>14</v>
      </c>
      <c r="G89">
        <v>35</v>
      </c>
      <c r="H89" t="s">
        <v>15</v>
      </c>
      <c r="I89" s="1">
        <v>30.33</v>
      </c>
      <c r="J89">
        <v>5</v>
      </c>
    </row>
    <row r="90" spans="1:10" hidden="1" x14ac:dyDescent="0.25">
      <c r="A90" t="s">
        <v>250</v>
      </c>
      <c r="B90" t="s">
        <v>249</v>
      </c>
      <c r="C90">
        <v>72527273157</v>
      </c>
      <c r="D90" t="s">
        <v>18</v>
      </c>
      <c r="E90" t="s">
        <v>60</v>
      </c>
      <c r="F90" t="s">
        <v>251</v>
      </c>
      <c r="G90">
        <v>9</v>
      </c>
      <c r="H90" t="s">
        <v>21</v>
      </c>
      <c r="I90" s="1">
        <v>7.05</v>
      </c>
      <c r="J90">
        <v>3</v>
      </c>
    </row>
    <row r="91" spans="1:10" hidden="1" x14ac:dyDescent="0.25">
      <c r="A91" t="s">
        <v>253</v>
      </c>
      <c r="B91" t="s">
        <v>252</v>
      </c>
      <c r="C91">
        <v>72527273158</v>
      </c>
      <c r="D91" t="s">
        <v>12</v>
      </c>
      <c r="E91" t="s">
        <v>13</v>
      </c>
      <c r="F91" t="s">
        <v>14</v>
      </c>
      <c r="G91">
        <v>0</v>
      </c>
      <c r="H91" t="s">
        <v>15</v>
      </c>
      <c r="I91" s="1">
        <v>43.18</v>
      </c>
      <c r="J91">
        <v>4</v>
      </c>
    </row>
    <row r="92" spans="1:10" hidden="1" x14ac:dyDescent="0.25">
      <c r="A92" t="s">
        <v>255</v>
      </c>
      <c r="B92" t="s">
        <v>254</v>
      </c>
      <c r="C92">
        <v>72527273159</v>
      </c>
      <c r="D92" t="s">
        <v>18</v>
      </c>
      <c r="E92" t="s">
        <v>60</v>
      </c>
      <c r="F92" t="s">
        <v>256</v>
      </c>
      <c r="G92">
        <v>39</v>
      </c>
      <c r="H92" t="s">
        <v>21</v>
      </c>
      <c r="I92" s="1">
        <v>21.4</v>
      </c>
      <c r="J92">
        <v>4</v>
      </c>
    </row>
    <row r="93" spans="1:10" hidden="1" x14ac:dyDescent="0.25">
      <c r="A93" t="s">
        <v>258</v>
      </c>
      <c r="B93" t="s">
        <v>257</v>
      </c>
      <c r="C93">
        <v>72527273160</v>
      </c>
      <c r="D93" t="s">
        <v>12</v>
      </c>
      <c r="E93" t="s">
        <v>37</v>
      </c>
      <c r="F93" t="s">
        <v>14</v>
      </c>
      <c r="G93">
        <v>41</v>
      </c>
      <c r="H93" t="s">
        <v>15</v>
      </c>
      <c r="I93" s="1">
        <v>12.9</v>
      </c>
      <c r="J93">
        <v>8</v>
      </c>
    </row>
    <row r="94" spans="1:10" hidden="1" x14ac:dyDescent="0.25">
      <c r="A94" t="s">
        <v>260</v>
      </c>
      <c r="B94" t="s">
        <v>259</v>
      </c>
      <c r="C94">
        <v>72527273161</v>
      </c>
      <c r="D94" t="s">
        <v>18</v>
      </c>
      <c r="E94" t="s">
        <v>261</v>
      </c>
      <c r="F94" t="s">
        <v>20</v>
      </c>
      <c r="G94">
        <v>2</v>
      </c>
      <c r="H94" t="s">
        <v>21</v>
      </c>
      <c r="I94" s="1">
        <v>37.020000000000003</v>
      </c>
      <c r="J94">
        <v>10</v>
      </c>
    </row>
    <row r="95" spans="1:10" hidden="1" x14ac:dyDescent="0.25">
      <c r="A95" t="s">
        <v>263</v>
      </c>
      <c r="B95" t="s">
        <v>262</v>
      </c>
      <c r="C95">
        <v>72527273162</v>
      </c>
      <c r="D95" t="s">
        <v>12</v>
      </c>
      <c r="E95" t="s">
        <v>47</v>
      </c>
      <c r="F95" t="s">
        <v>48</v>
      </c>
      <c r="G95">
        <v>22</v>
      </c>
      <c r="H95" t="s">
        <v>15</v>
      </c>
      <c r="I95" s="1">
        <v>37.200000000000003</v>
      </c>
      <c r="J95">
        <v>6</v>
      </c>
    </row>
    <row r="96" spans="1:10" hidden="1" x14ac:dyDescent="0.25">
      <c r="A96" t="s">
        <v>265</v>
      </c>
      <c r="B96" t="s">
        <v>264</v>
      </c>
      <c r="C96">
        <v>72527273163</v>
      </c>
      <c r="D96" t="s">
        <v>18</v>
      </c>
      <c r="E96" t="s">
        <v>266</v>
      </c>
      <c r="F96" t="s">
        <v>267</v>
      </c>
      <c r="G96">
        <v>25</v>
      </c>
      <c r="H96" t="s">
        <v>21</v>
      </c>
      <c r="I96" s="1">
        <v>8.26</v>
      </c>
      <c r="J96">
        <v>1</v>
      </c>
    </row>
    <row r="97" spans="1:10" hidden="1" x14ac:dyDescent="0.25">
      <c r="A97" t="s">
        <v>269</v>
      </c>
      <c r="B97" t="s">
        <v>268</v>
      </c>
      <c r="C97">
        <v>72527273164</v>
      </c>
      <c r="D97" t="s">
        <v>12</v>
      </c>
      <c r="E97" t="s">
        <v>13</v>
      </c>
      <c r="F97" t="s">
        <v>14</v>
      </c>
      <c r="G97">
        <v>19</v>
      </c>
      <c r="H97" t="s">
        <v>15</v>
      </c>
      <c r="I97" s="1">
        <v>15.34</v>
      </c>
      <c r="J97">
        <v>7</v>
      </c>
    </row>
    <row r="98" spans="1:10" hidden="1" x14ac:dyDescent="0.25">
      <c r="A98" t="s">
        <v>271</v>
      </c>
      <c r="B98" t="s">
        <v>270</v>
      </c>
      <c r="C98">
        <v>72527273165</v>
      </c>
      <c r="D98" t="s">
        <v>18</v>
      </c>
      <c r="E98" t="s">
        <v>201</v>
      </c>
      <c r="F98" t="s">
        <v>101</v>
      </c>
      <c r="G98">
        <v>29</v>
      </c>
      <c r="H98" t="s">
        <v>21</v>
      </c>
      <c r="I98" s="1">
        <v>25.78</v>
      </c>
      <c r="J98">
        <v>7</v>
      </c>
    </row>
    <row r="99" spans="1:10" hidden="1" x14ac:dyDescent="0.25">
      <c r="A99" t="s">
        <v>273</v>
      </c>
      <c r="B99" t="s">
        <v>272</v>
      </c>
      <c r="C99">
        <v>72527273166</v>
      </c>
      <c r="D99" t="s">
        <v>12</v>
      </c>
      <c r="E99" t="s">
        <v>37</v>
      </c>
      <c r="F99" t="s">
        <v>274</v>
      </c>
      <c r="G99">
        <v>24</v>
      </c>
      <c r="H99" t="s">
        <v>15</v>
      </c>
      <c r="I99" s="1">
        <v>15.56</v>
      </c>
      <c r="J99">
        <v>2</v>
      </c>
    </row>
    <row r="100" spans="1:10" hidden="1" x14ac:dyDescent="0.25">
      <c r="A100" t="s">
        <v>276</v>
      </c>
      <c r="B100" t="s">
        <v>275</v>
      </c>
      <c r="C100">
        <v>72527273167</v>
      </c>
      <c r="D100" t="s">
        <v>18</v>
      </c>
      <c r="E100" t="s">
        <v>164</v>
      </c>
      <c r="F100" t="s">
        <v>132</v>
      </c>
      <c r="G100">
        <v>35</v>
      </c>
      <c r="H100" t="s">
        <v>21</v>
      </c>
      <c r="I100" s="1">
        <v>6.49</v>
      </c>
      <c r="J100">
        <v>7</v>
      </c>
    </row>
    <row r="101" spans="1:10" hidden="1" x14ac:dyDescent="0.25">
      <c r="A101" t="s">
        <v>278</v>
      </c>
      <c r="B101" t="s">
        <v>277</v>
      </c>
      <c r="C101">
        <v>72527273168</v>
      </c>
      <c r="D101" t="s">
        <v>12</v>
      </c>
      <c r="E101" t="s">
        <v>13</v>
      </c>
      <c r="F101" t="s">
        <v>279</v>
      </c>
      <c r="G101">
        <v>44</v>
      </c>
      <c r="H101" t="s">
        <v>15</v>
      </c>
      <c r="I101" s="1">
        <v>20.85</v>
      </c>
      <c r="J101">
        <v>7</v>
      </c>
    </row>
    <row r="102" spans="1:10" hidden="1" x14ac:dyDescent="0.25">
      <c r="A102" t="s">
        <v>281</v>
      </c>
      <c r="B102" t="s">
        <v>280</v>
      </c>
      <c r="C102">
        <v>72527273169</v>
      </c>
      <c r="D102" t="s">
        <v>18</v>
      </c>
      <c r="E102" t="s">
        <v>60</v>
      </c>
      <c r="F102" t="s">
        <v>282</v>
      </c>
      <c r="G102">
        <v>18</v>
      </c>
      <c r="H102" t="s">
        <v>21</v>
      </c>
      <c r="I102" s="1">
        <v>25.3</v>
      </c>
      <c r="J10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E2857-BE5E-4452-8890-BB9DC4A9825F}">
  <dimension ref="A2:U102"/>
  <sheetViews>
    <sheetView tabSelected="1" zoomScaleNormal="100" workbookViewId="0">
      <selection activeCell="N34" sqref="N34"/>
    </sheetView>
  </sheetViews>
  <sheetFormatPr defaultRowHeight="15" x14ac:dyDescent="0.25"/>
  <cols>
    <col min="1" max="1" width="22.85546875" bestFit="1" customWidth="1"/>
    <col min="2" max="2" width="24" bestFit="1" customWidth="1"/>
    <col min="3" max="3" width="12" bestFit="1" customWidth="1"/>
    <col min="4" max="4" width="15.140625" bestFit="1" customWidth="1"/>
    <col min="5" max="5" width="19.140625" bestFit="1" customWidth="1"/>
    <col min="6" max="6" width="16.140625" bestFit="1" customWidth="1"/>
    <col min="7" max="7" width="11.7109375" bestFit="1" customWidth="1"/>
    <col min="8" max="8" width="16.85546875" bestFit="1" customWidth="1"/>
    <col min="9" max="9" width="7.85546875" bestFit="1" customWidth="1"/>
    <col min="10" max="10" width="5.5703125" bestFit="1" customWidth="1"/>
    <col min="12" max="12" width="17.140625" bestFit="1" customWidth="1"/>
    <col min="13" max="13" width="24" bestFit="1" customWidth="1"/>
    <col min="14" max="14" width="20.140625" bestFit="1" customWidth="1"/>
    <col min="15" max="15" width="8.140625" bestFit="1" customWidth="1"/>
    <col min="16" max="16" width="16.5703125" bestFit="1" customWidth="1"/>
    <col min="17" max="17" width="11.28515625" bestFit="1" customWidth="1"/>
    <col min="18" max="18" width="16.5703125" bestFit="1" customWidth="1"/>
    <col min="19" max="19" width="26.42578125" bestFit="1" customWidth="1"/>
    <col min="20" max="20" width="10.42578125" bestFit="1" customWidth="1"/>
    <col min="21" max="21" width="10" bestFit="1" customWidth="1"/>
  </cols>
  <sheetData>
    <row r="2" spans="1:21" ht="18.75" x14ac:dyDescent="0.3">
      <c r="L2" s="12" t="s">
        <v>2</v>
      </c>
      <c r="M2" s="17" t="s">
        <v>289</v>
      </c>
      <c r="N2" s="3" t="s">
        <v>290</v>
      </c>
    </row>
    <row r="5" spans="1:21" ht="18.75" x14ac:dyDescent="0.3">
      <c r="A5" s="2" t="s">
        <v>2</v>
      </c>
      <c r="B5" s="2" t="s">
        <v>0</v>
      </c>
      <c r="C5" s="2" t="s">
        <v>1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L5" s="12" t="s">
        <v>2</v>
      </c>
      <c r="M5" s="12" t="s">
        <v>0</v>
      </c>
      <c r="N5" s="12" t="s">
        <v>1</v>
      </c>
      <c r="O5" s="12" t="s">
        <v>3</v>
      </c>
      <c r="P5" s="12" t="s">
        <v>4</v>
      </c>
      <c r="Q5" s="12" t="s">
        <v>5</v>
      </c>
      <c r="R5" s="12" t="s">
        <v>6</v>
      </c>
      <c r="S5" s="12" t="s">
        <v>7</v>
      </c>
      <c r="T5" s="12" t="s">
        <v>8</v>
      </c>
      <c r="U5" s="12" t="s">
        <v>9</v>
      </c>
    </row>
    <row r="6" spans="1:21" x14ac:dyDescent="0.25">
      <c r="A6" t="s">
        <v>11</v>
      </c>
      <c r="B6" t="s">
        <v>10</v>
      </c>
      <c r="C6">
        <v>72527273070</v>
      </c>
      <c r="D6" t="s">
        <v>12</v>
      </c>
      <c r="E6" t="s">
        <v>13</v>
      </c>
      <c r="F6" t="s">
        <v>14</v>
      </c>
      <c r="G6">
        <v>29</v>
      </c>
      <c r="H6" t="s">
        <v>15</v>
      </c>
      <c r="I6" s="1">
        <v>21</v>
      </c>
      <c r="J6">
        <v>4</v>
      </c>
      <c r="L6" t="str" cm="1">
        <f t="array" ref="L6:U10">_xlfn._xlws.FILTER(A6:J102, ISNUMBER(SEARCH(M2, A6:A102)), "ERROR")</f>
        <v>Tape Dispenser</v>
      </c>
      <c r="M6" t="str">
        <v>1234-016</v>
      </c>
      <c r="N6">
        <v>72527273085</v>
      </c>
      <c r="O6" t="str">
        <v>Office Supply</v>
      </c>
      <c r="P6" t="str">
        <v>Desk Accessory</v>
      </c>
      <c r="Q6" t="str">
        <v>1 unit</v>
      </c>
      <c r="R6">
        <v>49</v>
      </c>
      <c r="S6" t="str">
        <v>Office Supply Co</v>
      </c>
      <c r="T6">
        <v>37.9</v>
      </c>
      <c r="U6">
        <v>1</v>
      </c>
    </row>
    <row r="7" spans="1:21" x14ac:dyDescent="0.25">
      <c r="A7" t="s">
        <v>17</v>
      </c>
      <c r="B7" t="s">
        <v>16</v>
      </c>
      <c r="C7">
        <v>72527273071</v>
      </c>
      <c r="D7" t="s">
        <v>18</v>
      </c>
      <c r="E7" t="s">
        <v>19</v>
      </c>
      <c r="F7" t="s">
        <v>20</v>
      </c>
      <c r="G7">
        <v>45</v>
      </c>
      <c r="H7" t="s">
        <v>21</v>
      </c>
      <c r="I7" s="1">
        <v>5.98</v>
      </c>
      <c r="J7">
        <v>4</v>
      </c>
      <c r="L7" t="str">
        <v>Pen Holder</v>
      </c>
      <c r="M7" t="str">
        <v>1234-028</v>
      </c>
      <c r="N7">
        <v>72527273097</v>
      </c>
      <c r="O7" t="str">
        <v>Office Supply</v>
      </c>
      <c r="P7" t="str">
        <v>Desk Accessory</v>
      </c>
      <c r="Q7" t="str">
        <v>1 unit</v>
      </c>
      <c r="R7">
        <v>10</v>
      </c>
      <c r="S7" t="str">
        <v>Office Supply Co</v>
      </c>
      <c r="T7">
        <v>7.62</v>
      </c>
      <c r="U7">
        <v>10</v>
      </c>
    </row>
    <row r="8" spans="1:21" x14ac:dyDescent="0.25">
      <c r="A8" t="s">
        <v>23</v>
      </c>
      <c r="B8" t="s">
        <v>22</v>
      </c>
      <c r="C8">
        <v>72527273072</v>
      </c>
      <c r="D8" t="s">
        <v>12</v>
      </c>
      <c r="E8" t="s">
        <v>24</v>
      </c>
      <c r="F8" t="s">
        <v>25</v>
      </c>
      <c r="G8">
        <v>24</v>
      </c>
      <c r="H8" t="s">
        <v>15</v>
      </c>
      <c r="I8" s="1">
        <v>47.09</v>
      </c>
      <c r="J8">
        <v>2</v>
      </c>
      <c r="L8" t="str">
        <v>Pencil Set</v>
      </c>
      <c r="M8" t="str">
        <v>1234-030</v>
      </c>
      <c r="N8">
        <v>72527273099</v>
      </c>
      <c r="O8" t="str">
        <v>Office Supply</v>
      </c>
      <c r="P8" t="str">
        <v>Stationery</v>
      </c>
      <c r="Q8" t="str">
        <v>12 pencils</v>
      </c>
      <c r="R8">
        <v>34</v>
      </c>
      <c r="S8" t="str">
        <v>Office Supply Co</v>
      </c>
      <c r="T8">
        <v>28.73</v>
      </c>
      <c r="U8">
        <v>2</v>
      </c>
    </row>
    <row r="9" spans="1:21" x14ac:dyDescent="0.25">
      <c r="A9" t="s">
        <v>27</v>
      </c>
      <c r="B9" t="s">
        <v>26</v>
      </c>
      <c r="C9">
        <v>72527273073</v>
      </c>
      <c r="D9" t="s">
        <v>12</v>
      </c>
      <c r="E9" t="s">
        <v>13</v>
      </c>
      <c r="F9" t="s">
        <v>28</v>
      </c>
      <c r="G9">
        <v>24</v>
      </c>
      <c r="H9" t="s">
        <v>15</v>
      </c>
      <c r="I9" s="1">
        <v>30.59</v>
      </c>
      <c r="J9">
        <v>10</v>
      </c>
      <c r="L9" t="str">
        <v>Pen Set</v>
      </c>
      <c r="M9" t="str">
        <v>1234-083</v>
      </c>
      <c r="N9">
        <v>72527273152</v>
      </c>
      <c r="O9" t="str">
        <v>Office Supply</v>
      </c>
      <c r="P9" t="str">
        <v>Stationery</v>
      </c>
      <c r="Q9" t="str">
        <v>10 pens</v>
      </c>
      <c r="R9">
        <v>12</v>
      </c>
      <c r="S9" t="str">
        <v>Office Supply Co</v>
      </c>
      <c r="T9">
        <v>7.61</v>
      </c>
      <c r="U9">
        <v>3</v>
      </c>
    </row>
    <row r="10" spans="1:21" x14ac:dyDescent="0.25">
      <c r="A10" t="s">
        <v>30</v>
      </c>
      <c r="B10" t="s">
        <v>29</v>
      </c>
      <c r="C10">
        <v>72527273074</v>
      </c>
      <c r="D10" t="s">
        <v>18</v>
      </c>
      <c r="E10" t="s">
        <v>19</v>
      </c>
      <c r="F10" t="s">
        <v>20</v>
      </c>
      <c r="G10">
        <v>45</v>
      </c>
      <c r="H10" t="s">
        <v>21</v>
      </c>
      <c r="I10" s="1">
        <v>26.29</v>
      </c>
      <c r="J10">
        <v>2</v>
      </c>
      <c r="L10" t="str">
        <v>Pen Cup</v>
      </c>
      <c r="M10" t="str">
        <v>1234-095</v>
      </c>
      <c r="N10">
        <v>72527273164</v>
      </c>
      <c r="O10" t="str">
        <v>Office Supply</v>
      </c>
      <c r="P10" t="str">
        <v>Desk Accessory</v>
      </c>
      <c r="Q10" t="str">
        <v>1 unit</v>
      </c>
      <c r="R10">
        <v>19</v>
      </c>
      <c r="S10" t="str">
        <v>Office Supply Co</v>
      </c>
      <c r="T10">
        <v>15.34</v>
      </c>
      <c r="U10">
        <v>7</v>
      </c>
    </row>
    <row r="11" spans="1:21" x14ac:dyDescent="0.25">
      <c r="A11" t="s">
        <v>32</v>
      </c>
      <c r="B11" t="s">
        <v>31</v>
      </c>
      <c r="C11">
        <v>72527273075</v>
      </c>
      <c r="D11" t="s">
        <v>18</v>
      </c>
      <c r="E11" t="s">
        <v>33</v>
      </c>
      <c r="F11" t="s">
        <v>34</v>
      </c>
      <c r="G11">
        <v>7</v>
      </c>
      <c r="H11" t="s">
        <v>21</v>
      </c>
      <c r="I11" s="1">
        <v>41.24</v>
      </c>
      <c r="J11">
        <v>8</v>
      </c>
    </row>
    <row r="12" spans="1:21" x14ac:dyDescent="0.25">
      <c r="A12" t="s">
        <v>36</v>
      </c>
      <c r="B12" t="s">
        <v>35</v>
      </c>
      <c r="C12">
        <v>72527273076</v>
      </c>
      <c r="D12" t="s">
        <v>12</v>
      </c>
      <c r="E12" t="s">
        <v>37</v>
      </c>
      <c r="F12" t="s">
        <v>38</v>
      </c>
      <c r="G12">
        <v>7</v>
      </c>
      <c r="H12" t="s">
        <v>15</v>
      </c>
      <c r="I12" s="1">
        <v>16.690000000000001</v>
      </c>
      <c r="J12">
        <v>9</v>
      </c>
    </row>
    <row r="13" spans="1:21" x14ac:dyDescent="0.25">
      <c r="A13" t="s">
        <v>40</v>
      </c>
      <c r="B13" t="s">
        <v>39</v>
      </c>
      <c r="C13">
        <v>72527273077</v>
      </c>
      <c r="D13" t="s">
        <v>12</v>
      </c>
      <c r="E13" t="s">
        <v>37</v>
      </c>
      <c r="F13" t="s">
        <v>41</v>
      </c>
      <c r="G13">
        <v>20</v>
      </c>
      <c r="H13" t="s">
        <v>15</v>
      </c>
      <c r="I13" s="1">
        <v>42.8</v>
      </c>
      <c r="J13">
        <v>8</v>
      </c>
    </row>
    <row r="14" spans="1:21" x14ac:dyDescent="0.25">
      <c r="A14" t="s">
        <v>43</v>
      </c>
      <c r="B14" t="s">
        <v>42</v>
      </c>
      <c r="C14">
        <v>72527273078</v>
      </c>
      <c r="D14" t="s">
        <v>18</v>
      </c>
      <c r="E14" t="s">
        <v>44</v>
      </c>
      <c r="F14" t="s">
        <v>20</v>
      </c>
      <c r="G14">
        <v>4</v>
      </c>
      <c r="H14" t="s">
        <v>21</v>
      </c>
      <c r="I14" s="1">
        <v>36.840000000000003</v>
      </c>
      <c r="J14">
        <v>5</v>
      </c>
    </row>
    <row r="15" spans="1:21" x14ac:dyDescent="0.25">
      <c r="A15" t="s">
        <v>46</v>
      </c>
      <c r="B15" t="s">
        <v>45</v>
      </c>
      <c r="C15">
        <v>72527273079</v>
      </c>
      <c r="D15" t="s">
        <v>12</v>
      </c>
      <c r="E15" t="s">
        <v>47</v>
      </c>
      <c r="F15" t="s">
        <v>48</v>
      </c>
      <c r="G15">
        <v>15</v>
      </c>
      <c r="H15" t="s">
        <v>15</v>
      </c>
      <c r="I15" s="1">
        <v>46.15</v>
      </c>
      <c r="J15">
        <v>10</v>
      </c>
    </row>
    <row r="16" spans="1:21" x14ac:dyDescent="0.25">
      <c r="A16" t="s">
        <v>50</v>
      </c>
      <c r="B16" t="s">
        <v>49</v>
      </c>
      <c r="C16">
        <v>72527273080</v>
      </c>
      <c r="D16" t="s">
        <v>18</v>
      </c>
      <c r="E16" t="s">
        <v>19</v>
      </c>
      <c r="F16" t="s">
        <v>20</v>
      </c>
      <c r="G16">
        <v>15</v>
      </c>
      <c r="H16" t="s">
        <v>21</v>
      </c>
      <c r="I16" s="1">
        <v>9.25</v>
      </c>
      <c r="J16">
        <v>2</v>
      </c>
    </row>
    <row r="17" spans="1:10" x14ac:dyDescent="0.25">
      <c r="A17" t="s">
        <v>52</v>
      </c>
      <c r="B17" t="s">
        <v>51</v>
      </c>
      <c r="C17">
        <v>72527273081</v>
      </c>
      <c r="D17" t="s">
        <v>12</v>
      </c>
      <c r="E17" t="s">
        <v>37</v>
      </c>
      <c r="F17" t="s">
        <v>53</v>
      </c>
      <c r="G17">
        <v>22</v>
      </c>
      <c r="H17" t="s">
        <v>15</v>
      </c>
      <c r="I17" s="1">
        <v>33.08</v>
      </c>
      <c r="J17">
        <v>1</v>
      </c>
    </row>
    <row r="18" spans="1:10" x14ac:dyDescent="0.25">
      <c r="A18" t="s">
        <v>55</v>
      </c>
      <c r="B18" t="s">
        <v>54</v>
      </c>
      <c r="C18">
        <v>72527273082</v>
      </c>
      <c r="D18" t="s">
        <v>12</v>
      </c>
      <c r="E18" t="s">
        <v>56</v>
      </c>
      <c r="F18" t="s">
        <v>57</v>
      </c>
      <c r="G18">
        <v>38</v>
      </c>
      <c r="H18" t="s">
        <v>15</v>
      </c>
      <c r="I18" s="1">
        <v>24.41</v>
      </c>
      <c r="J18">
        <v>1</v>
      </c>
    </row>
    <row r="19" spans="1:10" x14ac:dyDescent="0.25">
      <c r="A19" t="s">
        <v>59</v>
      </c>
      <c r="B19" t="s">
        <v>58</v>
      </c>
      <c r="C19">
        <v>72527273083</v>
      </c>
      <c r="D19" t="s">
        <v>18</v>
      </c>
      <c r="E19" t="s">
        <v>60</v>
      </c>
      <c r="F19" t="s">
        <v>61</v>
      </c>
      <c r="G19">
        <v>7</v>
      </c>
      <c r="H19" t="s">
        <v>21</v>
      </c>
      <c r="I19" s="1">
        <v>42.1</v>
      </c>
      <c r="J19">
        <v>10</v>
      </c>
    </row>
    <row r="20" spans="1:10" x14ac:dyDescent="0.25">
      <c r="A20" t="s">
        <v>63</v>
      </c>
      <c r="B20" t="s">
        <v>62</v>
      </c>
      <c r="C20">
        <v>72527273084</v>
      </c>
      <c r="D20" t="s">
        <v>18</v>
      </c>
      <c r="E20" t="s">
        <v>64</v>
      </c>
      <c r="F20" t="s">
        <v>65</v>
      </c>
      <c r="G20">
        <v>9</v>
      </c>
      <c r="H20" t="s">
        <v>21</v>
      </c>
      <c r="I20" s="1">
        <v>6.92</v>
      </c>
      <c r="J20">
        <v>5</v>
      </c>
    </row>
    <row r="21" spans="1:10" x14ac:dyDescent="0.25">
      <c r="A21" t="s">
        <v>67</v>
      </c>
      <c r="B21" t="s">
        <v>66</v>
      </c>
      <c r="C21">
        <v>72527273085</v>
      </c>
      <c r="D21" t="s">
        <v>12</v>
      </c>
      <c r="E21" t="s">
        <v>13</v>
      </c>
      <c r="F21" t="s">
        <v>14</v>
      </c>
      <c r="G21">
        <v>49</v>
      </c>
      <c r="H21" t="s">
        <v>15</v>
      </c>
      <c r="I21" s="1">
        <v>37.9</v>
      </c>
      <c r="J21">
        <v>1</v>
      </c>
    </row>
    <row r="22" spans="1:10" x14ac:dyDescent="0.25">
      <c r="A22" t="s">
        <v>69</v>
      </c>
      <c r="B22" t="s">
        <v>68</v>
      </c>
      <c r="C22">
        <v>72527273086</v>
      </c>
      <c r="D22" t="s">
        <v>18</v>
      </c>
      <c r="E22" t="s">
        <v>64</v>
      </c>
      <c r="F22" t="s">
        <v>20</v>
      </c>
      <c r="G22">
        <v>41</v>
      </c>
      <c r="H22" t="s">
        <v>21</v>
      </c>
      <c r="I22" s="1">
        <v>40.67</v>
      </c>
      <c r="J22">
        <v>5</v>
      </c>
    </row>
    <row r="23" spans="1:10" x14ac:dyDescent="0.25">
      <c r="A23" t="s">
        <v>71</v>
      </c>
      <c r="B23" t="s">
        <v>70</v>
      </c>
      <c r="C23">
        <v>72527273087</v>
      </c>
      <c r="D23" t="s">
        <v>12</v>
      </c>
      <c r="E23" t="s">
        <v>13</v>
      </c>
      <c r="F23" t="s">
        <v>72</v>
      </c>
      <c r="G23">
        <v>46</v>
      </c>
      <c r="H23" t="s">
        <v>15</v>
      </c>
      <c r="I23" s="1">
        <v>18.350000000000001</v>
      </c>
      <c r="J23">
        <v>8</v>
      </c>
    </row>
    <row r="24" spans="1:10" x14ac:dyDescent="0.25">
      <c r="A24" t="s">
        <v>74</v>
      </c>
      <c r="B24" t="s">
        <v>73</v>
      </c>
      <c r="C24">
        <v>72527273088</v>
      </c>
      <c r="D24" t="s">
        <v>12</v>
      </c>
      <c r="E24" t="s">
        <v>37</v>
      </c>
      <c r="F24" t="s">
        <v>75</v>
      </c>
      <c r="G24">
        <v>47</v>
      </c>
      <c r="H24" t="s">
        <v>15</v>
      </c>
      <c r="I24" s="1">
        <v>42.41</v>
      </c>
      <c r="J24">
        <v>3</v>
      </c>
    </row>
    <row r="25" spans="1:10" x14ac:dyDescent="0.25">
      <c r="A25" t="s">
        <v>77</v>
      </c>
      <c r="B25" t="s">
        <v>76</v>
      </c>
      <c r="C25">
        <v>72527273089</v>
      </c>
      <c r="D25" t="s">
        <v>18</v>
      </c>
      <c r="E25" t="s">
        <v>19</v>
      </c>
      <c r="F25" t="s">
        <v>20</v>
      </c>
      <c r="G25">
        <v>41</v>
      </c>
      <c r="H25" t="s">
        <v>21</v>
      </c>
      <c r="I25" s="1">
        <v>19.46</v>
      </c>
      <c r="J25">
        <v>2</v>
      </c>
    </row>
    <row r="26" spans="1:10" x14ac:dyDescent="0.25">
      <c r="A26" t="s">
        <v>79</v>
      </c>
      <c r="B26" t="s">
        <v>78</v>
      </c>
      <c r="C26">
        <v>72527273090</v>
      </c>
      <c r="D26" t="s">
        <v>12</v>
      </c>
      <c r="E26" t="s">
        <v>37</v>
      </c>
      <c r="F26" t="s">
        <v>80</v>
      </c>
      <c r="G26">
        <v>16</v>
      </c>
      <c r="H26" t="s">
        <v>15</v>
      </c>
      <c r="I26" s="1">
        <v>27.78</v>
      </c>
      <c r="J26">
        <v>9</v>
      </c>
    </row>
    <row r="27" spans="1:10" x14ac:dyDescent="0.25">
      <c r="A27" t="s">
        <v>82</v>
      </c>
      <c r="B27" t="s">
        <v>81</v>
      </c>
      <c r="C27">
        <v>72527273091</v>
      </c>
      <c r="D27" t="s">
        <v>18</v>
      </c>
      <c r="E27" t="s">
        <v>19</v>
      </c>
      <c r="F27" t="s">
        <v>20</v>
      </c>
      <c r="G27">
        <v>43</v>
      </c>
      <c r="H27" t="s">
        <v>21</v>
      </c>
      <c r="I27" s="1">
        <v>39.06</v>
      </c>
      <c r="J27">
        <v>2</v>
      </c>
    </row>
    <row r="28" spans="1:10" x14ac:dyDescent="0.25">
      <c r="A28" t="s">
        <v>84</v>
      </c>
      <c r="B28" t="s">
        <v>83</v>
      </c>
      <c r="C28">
        <v>72527273092</v>
      </c>
      <c r="D28" t="s">
        <v>18</v>
      </c>
      <c r="E28" t="s">
        <v>85</v>
      </c>
      <c r="F28" t="s">
        <v>86</v>
      </c>
      <c r="G28">
        <v>8</v>
      </c>
      <c r="H28" t="s">
        <v>21</v>
      </c>
      <c r="I28" s="1">
        <v>19.13</v>
      </c>
      <c r="J28">
        <v>9</v>
      </c>
    </row>
    <row r="29" spans="1:10" x14ac:dyDescent="0.25">
      <c r="A29" t="s">
        <v>88</v>
      </c>
      <c r="B29" t="s">
        <v>87</v>
      </c>
      <c r="C29">
        <v>72527273093</v>
      </c>
      <c r="D29" t="s">
        <v>12</v>
      </c>
      <c r="E29" t="s">
        <v>13</v>
      </c>
      <c r="F29" t="s">
        <v>89</v>
      </c>
      <c r="G29">
        <v>50</v>
      </c>
      <c r="H29" t="s">
        <v>15</v>
      </c>
      <c r="I29" s="1">
        <v>11.93</v>
      </c>
      <c r="J29">
        <v>3</v>
      </c>
    </row>
    <row r="30" spans="1:10" x14ac:dyDescent="0.25">
      <c r="A30" t="s">
        <v>91</v>
      </c>
      <c r="B30" t="s">
        <v>90</v>
      </c>
      <c r="C30">
        <v>72527273094</v>
      </c>
      <c r="D30" t="s">
        <v>12</v>
      </c>
      <c r="E30" t="s">
        <v>92</v>
      </c>
      <c r="F30" t="s">
        <v>93</v>
      </c>
      <c r="G30">
        <v>25</v>
      </c>
      <c r="H30" t="s">
        <v>15</v>
      </c>
      <c r="I30" s="1">
        <v>30.42</v>
      </c>
      <c r="J30">
        <v>6</v>
      </c>
    </row>
    <row r="31" spans="1:10" x14ac:dyDescent="0.25">
      <c r="A31" t="s">
        <v>95</v>
      </c>
      <c r="B31" t="s">
        <v>94</v>
      </c>
      <c r="C31">
        <v>72527273095</v>
      </c>
      <c r="D31" t="s">
        <v>18</v>
      </c>
      <c r="E31" t="s">
        <v>96</v>
      </c>
      <c r="F31" t="s">
        <v>97</v>
      </c>
      <c r="G31">
        <v>38</v>
      </c>
      <c r="H31" t="s">
        <v>21</v>
      </c>
      <c r="I31" s="1">
        <v>12.22</v>
      </c>
      <c r="J31">
        <v>8</v>
      </c>
    </row>
    <row r="32" spans="1:10" x14ac:dyDescent="0.25">
      <c r="A32" t="s">
        <v>99</v>
      </c>
      <c r="B32" t="s">
        <v>98</v>
      </c>
      <c r="C32">
        <v>72527273096</v>
      </c>
      <c r="D32" t="s">
        <v>18</v>
      </c>
      <c r="E32" t="s">
        <v>100</v>
      </c>
      <c r="F32" t="s">
        <v>101</v>
      </c>
      <c r="G32">
        <v>50</v>
      </c>
      <c r="H32" t="s">
        <v>21</v>
      </c>
      <c r="I32" s="1">
        <v>24.8</v>
      </c>
      <c r="J32">
        <v>4</v>
      </c>
    </row>
    <row r="33" spans="1:10" x14ac:dyDescent="0.25">
      <c r="A33" t="s">
        <v>103</v>
      </c>
      <c r="B33" t="s">
        <v>102</v>
      </c>
      <c r="C33">
        <v>72527273097</v>
      </c>
      <c r="D33" t="s">
        <v>12</v>
      </c>
      <c r="E33" t="s">
        <v>13</v>
      </c>
      <c r="F33" t="s">
        <v>14</v>
      </c>
      <c r="G33">
        <v>10</v>
      </c>
      <c r="H33" t="s">
        <v>15</v>
      </c>
      <c r="I33" s="1">
        <v>7.62</v>
      </c>
      <c r="J33">
        <v>10</v>
      </c>
    </row>
    <row r="34" spans="1:10" x14ac:dyDescent="0.25">
      <c r="A34" t="s">
        <v>105</v>
      </c>
      <c r="B34" t="s">
        <v>104</v>
      </c>
      <c r="C34">
        <v>72527273098</v>
      </c>
      <c r="D34" t="s">
        <v>12</v>
      </c>
      <c r="E34" t="s">
        <v>13</v>
      </c>
      <c r="F34" t="s">
        <v>106</v>
      </c>
      <c r="G34">
        <v>19</v>
      </c>
      <c r="H34" t="s">
        <v>15</v>
      </c>
      <c r="I34" s="1">
        <v>47.44</v>
      </c>
      <c r="J34">
        <v>4</v>
      </c>
    </row>
    <row r="35" spans="1:10" x14ac:dyDescent="0.25">
      <c r="A35" t="s">
        <v>108</v>
      </c>
      <c r="B35" t="s">
        <v>107</v>
      </c>
      <c r="C35">
        <v>72527273099</v>
      </c>
      <c r="D35" t="s">
        <v>12</v>
      </c>
      <c r="E35" t="s">
        <v>37</v>
      </c>
      <c r="F35" t="s">
        <v>109</v>
      </c>
      <c r="G35">
        <v>34</v>
      </c>
      <c r="H35" t="s">
        <v>15</v>
      </c>
      <c r="I35" s="1">
        <v>28.73</v>
      </c>
      <c r="J35">
        <v>2</v>
      </c>
    </row>
    <row r="36" spans="1:10" x14ac:dyDescent="0.25">
      <c r="A36" t="s">
        <v>111</v>
      </c>
      <c r="B36" t="s">
        <v>110</v>
      </c>
      <c r="C36">
        <v>72527273100</v>
      </c>
      <c r="D36" t="s">
        <v>12</v>
      </c>
      <c r="E36" t="s">
        <v>37</v>
      </c>
      <c r="F36" t="s">
        <v>112</v>
      </c>
      <c r="G36">
        <v>37</v>
      </c>
      <c r="H36" t="s">
        <v>15</v>
      </c>
      <c r="I36" s="1">
        <v>1.44</v>
      </c>
      <c r="J36">
        <v>9</v>
      </c>
    </row>
    <row r="37" spans="1:10" x14ac:dyDescent="0.25">
      <c r="A37" t="s">
        <v>114</v>
      </c>
      <c r="B37" t="s">
        <v>113</v>
      </c>
      <c r="C37">
        <v>72527273101</v>
      </c>
      <c r="D37" t="s">
        <v>18</v>
      </c>
      <c r="E37" t="s">
        <v>64</v>
      </c>
      <c r="F37" t="s">
        <v>101</v>
      </c>
      <c r="G37">
        <v>28</v>
      </c>
      <c r="H37" t="s">
        <v>21</v>
      </c>
      <c r="I37" s="1">
        <v>49.23</v>
      </c>
      <c r="J37">
        <v>9</v>
      </c>
    </row>
    <row r="38" spans="1:10" x14ac:dyDescent="0.25">
      <c r="A38" t="s">
        <v>116</v>
      </c>
      <c r="B38" t="s">
        <v>115</v>
      </c>
      <c r="C38">
        <v>72527273103</v>
      </c>
      <c r="D38" t="s">
        <v>18</v>
      </c>
      <c r="E38" t="s">
        <v>100</v>
      </c>
      <c r="F38" t="s">
        <v>34</v>
      </c>
      <c r="G38">
        <v>4</v>
      </c>
      <c r="H38" t="s">
        <v>21</v>
      </c>
      <c r="I38" s="1">
        <v>40.24</v>
      </c>
      <c r="J38">
        <v>10</v>
      </c>
    </row>
    <row r="39" spans="1:10" x14ac:dyDescent="0.25">
      <c r="A39" t="s">
        <v>118</v>
      </c>
      <c r="B39" t="s">
        <v>117</v>
      </c>
      <c r="C39">
        <v>72527273104</v>
      </c>
      <c r="D39" t="s">
        <v>12</v>
      </c>
      <c r="E39" t="s">
        <v>119</v>
      </c>
      <c r="F39" t="s">
        <v>120</v>
      </c>
      <c r="G39">
        <v>41</v>
      </c>
      <c r="H39" t="s">
        <v>15</v>
      </c>
      <c r="I39" s="1">
        <v>41.81</v>
      </c>
      <c r="J39">
        <v>8</v>
      </c>
    </row>
    <row r="40" spans="1:10" x14ac:dyDescent="0.25">
      <c r="A40" t="s">
        <v>122</v>
      </c>
      <c r="B40" t="s">
        <v>121</v>
      </c>
      <c r="C40">
        <v>72527273105</v>
      </c>
      <c r="D40" t="s">
        <v>12</v>
      </c>
      <c r="E40" t="s">
        <v>37</v>
      </c>
      <c r="F40" t="s">
        <v>123</v>
      </c>
      <c r="G40">
        <v>45</v>
      </c>
      <c r="H40" t="s">
        <v>15</v>
      </c>
      <c r="I40" s="1">
        <v>3.01</v>
      </c>
      <c r="J40">
        <v>2</v>
      </c>
    </row>
    <row r="41" spans="1:10" x14ac:dyDescent="0.25">
      <c r="A41" t="s">
        <v>125</v>
      </c>
      <c r="B41" t="s">
        <v>124</v>
      </c>
      <c r="C41">
        <v>72527273106</v>
      </c>
      <c r="D41" t="s">
        <v>18</v>
      </c>
      <c r="E41" t="s">
        <v>19</v>
      </c>
      <c r="F41" t="s">
        <v>61</v>
      </c>
      <c r="G41">
        <v>37</v>
      </c>
      <c r="H41" t="s">
        <v>21</v>
      </c>
      <c r="I41" s="1">
        <v>32.950000000000003</v>
      </c>
      <c r="J41">
        <v>8</v>
      </c>
    </row>
    <row r="42" spans="1:10" x14ac:dyDescent="0.25">
      <c r="A42" t="s">
        <v>127</v>
      </c>
      <c r="B42" t="s">
        <v>126</v>
      </c>
      <c r="C42">
        <v>72527273107</v>
      </c>
      <c r="D42" t="s">
        <v>12</v>
      </c>
      <c r="E42" t="s">
        <v>13</v>
      </c>
      <c r="F42" t="s">
        <v>128</v>
      </c>
      <c r="G42">
        <v>33</v>
      </c>
      <c r="H42" t="s">
        <v>15</v>
      </c>
      <c r="I42" s="1">
        <v>13.34</v>
      </c>
      <c r="J42">
        <v>3</v>
      </c>
    </row>
    <row r="43" spans="1:10" x14ac:dyDescent="0.25">
      <c r="A43" t="s">
        <v>130</v>
      </c>
      <c r="B43" t="s">
        <v>129</v>
      </c>
      <c r="C43">
        <v>72527273108</v>
      </c>
      <c r="D43" t="s">
        <v>18</v>
      </c>
      <c r="E43" t="s">
        <v>131</v>
      </c>
      <c r="F43" t="s">
        <v>132</v>
      </c>
      <c r="G43">
        <v>24</v>
      </c>
      <c r="H43" t="s">
        <v>21</v>
      </c>
      <c r="I43" s="1">
        <v>41.93</v>
      </c>
      <c r="J43">
        <v>10</v>
      </c>
    </row>
    <row r="44" spans="1:10" x14ac:dyDescent="0.25">
      <c r="A44" t="s">
        <v>134</v>
      </c>
      <c r="B44" t="s">
        <v>133</v>
      </c>
      <c r="C44">
        <v>72527273109</v>
      </c>
      <c r="D44" t="s">
        <v>12</v>
      </c>
      <c r="E44" t="s">
        <v>47</v>
      </c>
      <c r="F44" t="s">
        <v>14</v>
      </c>
      <c r="G44">
        <v>24</v>
      </c>
      <c r="H44" t="s">
        <v>15</v>
      </c>
      <c r="I44" s="1">
        <v>35.14</v>
      </c>
      <c r="J44">
        <v>1</v>
      </c>
    </row>
    <row r="45" spans="1:10" x14ac:dyDescent="0.25">
      <c r="A45" t="s">
        <v>136</v>
      </c>
      <c r="B45" t="s">
        <v>135</v>
      </c>
      <c r="C45">
        <v>72527273110</v>
      </c>
      <c r="D45" t="s">
        <v>18</v>
      </c>
      <c r="E45" t="s">
        <v>96</v>
      </c>
      <c r="F45" t="s">
        <v>97</v>
      </c>
      <c r="G45">
        <v>39</v>
      </c>
      <c r="H45" t="s">
        <v>21</v>
      </c>
      <c r="I45" s="1">
        <v>28.69</v>
      </c>
      <c r="J45">
        <v>10</v>
      </c>
    </row>
    <row r="46" spans="1:10" x14ac:dyDescent="0.25">
      <c r="A46" t="s">
        <v>138</v>
      </c>
      <c r="B46" t="s">
        <v>137</v>
      </c>
      <c r="C46">
        <v>72527273112</v>
      </c>
      <c r="D46" t="s">
        <v>18</v>
      </c>
      <c r="E46" t="s">
        <v>96</v>
      </c>
      <c r="F46" t="s">
        <v>101</v>
      </c>
      <c r="G46">
        <v>46</v>
      </c>
      <c r="H46" t="s">
        <v>21</v>
      </c>
      <c r="I46" s="1">
        <v>13.63</v>
      </c>
      <c r="J46">
        <v>7</v>
      </c>
    </row>
    <row r="47" spans="1:10" x14ac:dyDescent="0.25">
      <c r="A47" t="s">
        <v>140</v>
      </c>
      <c r="B47" t="s">
        <v>139</v>
      </c>
      <c r="C47">
        <v>72527273113</v>
      </c>
      <c r="D47" t="s">
        <v>12</v>
      </c>
      <c r="E47" t="s">
        <v>37</v>
      </c>
      <c r="F47" t="s">
        <v>80</v>
      </c>
      <c r="G47">
        <v>32</v>
      </c>
      <c r="H47" t="s">
        <v>15</v>
      </c>
      <c r="I47" s="1">
        <v>35.49</v>
      </c>
      <c r="J47">
        <v>2</v>
      </c>
    </row>
    <row r="48" spans="1:10" x14ac:dyDescent="0.25">
      <c r="A48" t="s">
        <v>142</v>
      </c>
      <c r="B48" t="s">
        <v>141</v>
      </c>
      <c r="C48">
        <v>72527273114</v>
      </c>
      <c r="D48" t="s">
        <v>12</v>
      </c>
      <c r="E48" t="s">
        <v>13</v>
      </c>
      <c r="F48" t="s">
        <v>14</v>
      </c>
      <c r="G48">
        <v>21</v>
      </c>
      <c r="H48" t="s">
        <v>15</v>
      </c>
      <c r="I48" s="1">
        <v>7</v>
      </c>
      <c r="J48">
        <v>3</v>
      </c>
    </row>
    <row r="49" spans="1:10" x14ac:dyDescent="0.25">
      <c r="A49" t="s">
        <v>144</v>
      </c>
      <c r="B49" t="s">
        <v>143</v>
      </c>
      <c r="C49">
        <v>72527273115</v>
      </c>
      <c r="D49" t="s">
        <v>18</v>
      </c>
      <c r="E49" t="s">
        <v>60</v>
      </c>
      <c r="F49" t="s">
        <v>61</v>
      </c>
      <c r="G49">
        <v>4</v>
      </c>
      <c r="H49" t="s">
        <v>21</v>
      </c>
      <c r="I49" s="1">
        <v>36.729999999999997</v>
      </c>
      <c r="J49">
        <v>2</v>
      </c>
    </row>
    <row r="50" spans="1:10" x14ac:dyDescent="0.25">
      <c r="A50" t="s">
        <v>146</v>
      </c>
      <c r="B50" t="s">
        <v>145</v>
      </c>
      <c r="C50">
        <v>72527273116</v>
      </c>
      <c r="D50" t="s">
        <v>12</v>
      </c>
      <c r="E50" t="s">
        <v>13</v>
      </c>
      <c r="F50" t="s">
        <v>147</v>
      </c>
      <c r="G50">
        <v>39</v>
      </c>
      <c r="H50" t="s">
        <v>15</v>
      </c>
      <c r="I50" s="1">
        <v>5.35</v>
      </c>
      <c r="J50">
        <v>2</v>
      </c>
    </row>
    <row r="51" spans="1:10" x14ac:dyDescent="0.25">
      <c r="A51" t="s">
        <v>149</v>
      </c>
      <c r="B51" t="s">
        <v>148</v>
      </c>
      <c r="C51">
        <v>72527273117</v>
      </c>
      <c r="D51" t="s">
        <v>18</v>
      </c>
      <c r="E51" t="s">
        <v>150</v>
      </c>
      <c r="F51" t="s">
        <v>61</v>
      </c>
      <c r="G51">
        <v>6</v>
      </c>
      <c r="H51" t="s">
        <v>21</v>
      </c>
      <c r="I51" s="1">
        <v>3.25</v>
      </c>
      <c r="J51">
        <v>3</v>
      </c>
    </row>
    <row r="52" spans="1:10" x14ac:dyDescent="0.25">
      <c r="A52" t="s">
        <v>152</v>
      </c>
      <c r="B52" t="s">
        <v>151</v>
      </c>
      <c r="C52">
        <v>72527273118</v>
      </c>
      <c r="D52" t="s">
        <v>12</v>
      </c>
      <c r="E52" t="s">
        <v>13</v>
      </c>
      <c r="F52" t="s">
        <v>153</v>
      </c>
      <c r="G52">
        <v>4</v>
      </c>
      <c r="H52" t="s">
        <v>15</v>
      </c>
      <c r="I52" s="1">
        <v>32.85</v>
      </c>
      <c r="J52">
        <v>6</v>
      </c>
    </row>
    <row r="53" spans="1:10" x14ac:dyDescent="0.25">
      <c r="A53" t="s">
        <v>155</v>
      </c>
      <c r="B53" t="s">
        <v>154</v>
      </c>
      <c r="C53">
        <v>72527273119</v>
      </c>
      <c r="D53" t="s">
        <v>18</v>
      </c>
      <c r="E53" t="s">
        <v>150</v>
      </c>
      <c r="F53" t="s">
        <v>20</v>
      </c>
      <c r="G53">
        <v>20</v>
      </c>
      <c r="H53" t="s">
        <v>21</v>
      </c>
      <c r="I53" s="1">
        <v>17.98</v>
      </c>
      <c r="J53">
        <v>9</v>
      </c>
    </row>
    <row r="54" spans="1:10" x14ac:dyDescent="0.25">
      <c r="A54" t="s">
        <v>157</v>
      </c>
      <c r="B54" t="s">
        <v>156</v>
      </c>
      <c r="C54">
        <v>72527273120</v>
      </c>
      <c r="D54" t="s">
        <v>12</v>
      </c>
      <c r="E54" t="s">
        <v>37</v>
      </c>
      <c r="F54" t="s">
        <v>14</v>
      </c>
      <c r="G54">
        <v>20</v>
      </c>
      <c r="H54" t="s">
        <v>15</v>
      </c>
      <c r="I54" s="1">
        <v>48.48</v>
      </c>
      <c r="J54">
        <v>8</v>
      </c>
    </row>
    <row r="55" spans="1:10" x14ac:dyDescent="0.25">
      <c r="A55" t="s">
        <v>159</v>
      </c>
      <c r="B55" t="s">
        <v>158</v>
      </c>
      <c r="C55">
        <v>72527273121</v>
      </c>
      <c r="D55" t="s">
        <v>12</v>
      </c>
      <c r="E55" t="s">
        <v>160</v>
      </c>
      <c r="F55" t="s">
        <v>161</v>
      </c>
      <c r="G55">
        <v>4</v>
      </c>
      <c r="H55" t="s">
        <v>15</v>
      </c>
      <c r="I55" s="1">
        <v>35.700000000000003</v>
      </c>
      <c r="J55">
        <v>2</v>
      </c>
    </row>
    <row r="56" spans="1:10" x14ac:dyDescent="0.25">
      <c r="A56" t="s">
        <v>163</v>
      </c>
      <c r="B56" t="s">
        <v>162</v>
      </c>
      <c r="C56">
        <v>72527273122</v>
      </c>
      <c r="D56" t="s">
        <v>18</v>
      </c>
      <c r="E56" t="s">
        <v>164</v>
      </c>
      <c r="F56" t="s">
        <v>132</v>
      </c>
      <c r="G56">
        <v>49</v>
      </c>
      <c r="H56" t="s">
        <v>21</v>
      </c>
      <c r="I56" s="1">
        <v>48.48</v>
      </c>
      <c r="J56">
        <v>5</v>
      </c>
    </row>
    <row r="57" spans="1:10" x14ac:dyDescent="0.25">
      <c r="A57" t="s">
        <v>166</v>
      </c>
      <c r="B57" t="s">
        <v>165</v>
      </c>
      <c r="C57">
        <v>72527273124</v>
      </c>
      <c r="D57" t="s">
        <v>18</v>
      </c>
      <c r="E57" t="s">
        <v>60</v>
      </c>
      <c r="F57" t="s">
        <v>167</v>
      </c>
      <c r="G57">
        <v>27</v>
      </c>
      <c r="H57" t="s">
        <v>21</v>
      </c>
      <c r="I57" s="1">
        <v>20.37</v>
      </c>
      <c r="J57">
        <v>3</v>
      </c>
    </row>
    <row r="58" spans="1:10" x14ac:dyDescent="0.25">
      <c r="A58" t="s">
        <v>169</v>
      </c>
      <c r="B58" t="s">
        <v>168</v>
      </c>
      <c r="C58">
        <v>72527273125</v>
      </c>
      <c r="D58" t="s">
        <v>12</v>
      </c>
      <c r="E58" t="s">
        <v>37</v>
      </c>
      <c r="F58" t="s">
        <v>170</v>
      </c>
      <c r="G58">
        <v>46</v>
      </c>
      <c r="H58" t="s">
        <v>15</v>
      </c>
      <c r="I58" s="1">
        <v>32.869999999999997</v>
      </c>
      <c r="J58">
        <v>1</v>
      </c>
    </row>
    <row r="59" spans="1:10" x14ac:dyDescent="0.25">
      <c r="A59" t="s">
        <v>172</v>
      </c>
      <c r="B59" t="s">
        <v>171</v>
      </c>
      <c r="C59">
        <v>72527273126</v>
      </c>
      <c r="D59" t="s">
        <v>18</v>
      </c>
      <c r="E59" t="s">
        <v>60</v>
      </c>
      <c r="F59" t="s">
        <v>173</v>
      </c>
      <c r="G59">
        <v>38</v>
      </c>
      <c r="H59" t="s">
        <v>21</v>
      </c>
      <c r="I59" s="1">
        <v>37.729999999999997</v>
      </c>
      <c r="J59">
        <v>10</v>
      </c>
    </row>
    <row r="60" spans="1:10" x14ac:dyDescent="0.25">
      <c r="A60" t="s">
        <v>175</v>
      </c>
      <c r="B60" t="s">
        <v>174</v>
      </c>
      <c r="C60">
        <v>72527273127</v>
      </c>
      <c r="D60" t="s">
        <v>18</v>
      </c>
      <c r="E60" t="s">
        <v>176</v>
      </c>
      <c r="F60" t="s">
        <v>61</v>
      </c>
      <c r="G60">
        <v>10</v>
      </c>
      <c r="H60" t="s">
        <v>21</v>
      </c>
      <c r="I60" s="1">
        <v>33.01</v>
      </c>
      <c r="J60">
        <v>4</v>
      </c>
    </row>
    <row r="61" spans="1:10" x14ac:dyDescent="0.25">
      <c r="A61" t="s">
        <v>178</v>
      </c>
      <c r="B61" t="s">
        <v>177</v>
      </c>
      <c r="C61">
        <v>72527273128</v>
      </c>
      <c r="D61" t="s">
        <v>12</v>
      </c>
      <c r="E61" t="s">
        <v>13</v>
      </c>
      <c r="F61" t="s">
        <v>14</v>
      </c>
      <c r="G61">
        <v>40</v>
      </c>
      <c r="H61" t="s">
        <v>15</v>
      </c>
      <c r="I61" s="1">
        <v>4.1100000000000003</v>
      </c>
      <c r="J61">
        <v>10</v>
      </c>
    </row>
    <row r="62" spans="1:10" x14ac:dyDescent="0.25">
      <c r="A62" t="s">
        <v>180</v>
      </c>
      <c r="B62" t="s">
        <v>179</v>
      </c>
      <c r="C62">
        <v>72527273129</v>
      </c>
      <c r="D62" t="s">
        <v>18</v>
      </c>
      <c r="E62" t="s">
        <v>150</v>
      </c>
      <c r="F62" t="s">
        <v>20</v>
      </c>
      <c r="G62">
        <v>37</v>
      </c>
      <c r="H62" t="s">
        <v>21</v>
      </c>
      <c r="I62" s="1">
        <v>16.989999999999998</v>
      </c>
      <c r="J62">
        <v>2</v>
      </c>
    </row>
    <row r="63" spans="1:10" x14ac:dyDescent="0.25">
      <c r="A63" t="s">
        <v>182</v>
      </c>
      <c r="B63" t="s">
        <v>181</v>
      </c>
      <c r="C63">
        <v>72527273130</v>
      </c>
      <c r="D63" t="s">
        <v>12</v>
      </c>
      <c r="E63" t="s">
        <v>13</v>
      </c>
      <c r="F63" t="s">
        <v>183</v>
      </c>
      <c r="G63">
        <v>2</v>
      </c>
      <c r="H63" t="s">
        <v>15</v>
      </c>
      <c r="I63" s="1">
        <v>4.1399999999999997</v>
      </c>
      <c r="J63">
        <v>3</v>
      </c>
    </row>
    <row r="64" spans="1:10" x14ac:dyDescent="0.25">
      <c r="A64" t="s">
        <v>185</v>
      </c>
      <c r="B64" t="s">
        <v>184</v>
      </c>
      <c r="C64">
        <v>72527273131</v>
      </c>
      <c r="D64" t="s">
        <v>18</v>
      </c>
      <c r="E64" t="s">
        <v>186</v>
      </c>
      <c r="F64" t="s">
        <v>20</v>
      </c>
      <c r="G64">
        <v>21</v>
      </c>
      <c r="H64" t="s">
        <v>21</v>
      </c>
      <c r="I64" s="1">
        <v>39.020000000000003</v>
      </c>
      <c r="J64">
        <v>9</v>
      </c>
    </row>
    <row r="65" spans="1:10" x14ac:dyDescent="0.25">
      <c r="A65" t="s">
        <v>188</v>
      </c>
      <c r="B65" t="s">
        <v>187</v>
      </c>
      <c r="C65">
        <v>72527273132</v>
      </c>
      <c r="D65" t="s">
        <v>12</v>
      </c>
      <c r="E65" t="s">
        <v>13</v>
      </c>
      <c r="F65" t="s">
        <v>189</v>
      </c>
      <c r="G65">
        <v>5</v>
      </c>
      <c r="H65" t="s">
        <v>15</v>
      </c>
      <c r="I65" s="1">
        <v>10.76</v>
      </c>
      <c r="J65">
        <v>6</v>
      </c>
    </row>
    <row r="66" spans="1:10" x14ac:dyDescent="0.25">
      <c r="A66" t="s">
        <v>191</v>
      </c>
      <c r="B66" t="s">
        <v>190</v>
      </c>
      <c r="C66">
        <v>72527273133</v>
      </c>
      <c r="D66" t="s">
        <v>12</v>
      </c>
      <c r="E66" t="s">
        <v>192</v>
      </c>
      <c r="F66" t="s">
        <v>193</v>
      </c>
      <c r="G66">
        <v>50</v>
      </c>
      <c r="H66" t="s">
        <v>15</v>
      </c>
      <c r="I66" s="1">
        <v>23.72</v>
      </c>
      <c r="J66">
        <v>9</v>
      </c>
    </row>
    <row r="67" spans="1:10" x14ac:dyDescent="0.25">
      <c r="A67" t="s">
        <v>195</v>
      </c>
      <c r="B67" t="s">
        <v>194</v>
      </c>
      <c r="C67">
        <v>72527273134</v>
      </c>
      <c r="D67" t="s">
        <v>18</v>
      </c>
      <c r="E67" t="s">
        <v>176</v>
      </c>
      <c r="F67" t="s">
        <v>196</v>
      </c>
      <c r="G67">
        <v>7</v>
      </c>
      <c r="H67" t="s">
        <v>21</v>
      </c>
      <c r="I67" s="1">
        <v>12.54</v>
      </c>
      <c r="J67">
        <v>10</v>
      </c>
    </row>
    <row r="68" spans="1:10" x14ac:dyDescent="0.25">
      <c r="A68" t="s">
        <v>198</v>
      </c>
      <c r="B68" t="s">
        <v>197</v>
      </c>
      <c r="C68">
        <v>72527273135</v>
      </c>
      <c r="D68" t="s">
        <v>12</v>
      </c>
      <c r="E68" t="s">
        <v>13</v>
      </c>
      <c r="F68" t="s">
        <v>14</v>
      </c>
      <c r="G68">
        <v>20</v>
      </c>
      <c r="H68" t="s">
        <v>15</v>
      </c>
      <c r="I68" s="1">
        <v>48.92</v>
      </c>
      <c r="J68">
        <v>7</v>
      </c>
    </row>
    <row r="69" spans="1:10" x14ac:dyDescent="0.25">
      <c r="A69" t="s">
        <v>200</v>
      </c>
      <c r="B69" t="s">
        <v>199</v>
      </c>
      <c r="C69">
        <v>72527273136</v>
      </c>
      <c r="D69" t="s">
        <v>18</v>
      </c>
      <c r="E69" t="s">
        <v>201</v>
      </c>
      <c r="F69" t="s">
        <v>101</v>
      </c>
      <c r="G69">
        <v>30</v>
      </c>
      <c r="H69" t="s">
        <v>21</v>
      </c>
      <c r="I69" s="1">
        <v>48.05</v>
      </c>
      <c r="J69">
        <v>3</v>
      </c>
    </row>
    <row r="70" spans="1:10" x14ac:dyDescent="0.25">
      <c r="A70" t="s">
        <v>203</v>
      </c>
      <c r="B70" t="s">
        <v>202</v>
      </c>
      <c r="C70">
        <v>72527273137</v>
      </c>
      <c r="D70" t="s">
        <v>12</v>
      </c>
      <c r="E70" t="s">
        <v>13</v>
      </c>
      <c r="F70" t="s">
        <v>14</v>
      </c>
      <c r="G70">
        <v>22</v>
      </c>
      <c r="H70" t="s">
        <v>15</v>
      </c>
      <c r="I70" s="1">
        <v>16.98</v>
      </c>
      <c r="J70">
        <v>4</v>
      </c>
    </row>
    <row r="71" spans="1:10" x14ac:dyDescent="0.25">
      <c r="A71" t="s">
        <v>205</v>
      </c>
      <c r="B71" t="s">
        <v>204</v>
      </c>
      <c r="C71">
        <v>72527273138</v>
      </c>
      <c r="D71" t="s">
        <v>206</v>
      </c>
      <c r="E71" t="s">
        <v>207</v>
      </c>
      <c r="F71" t="s">
        <v>132</v>
      </c>
      <c r="G71">
        <v>25</v>
      </c>
      <c r="H71" t="s">
        <v>206</v>
      </c>
      <c r="I71" s="1">
        <v>38.049999999999997</v>
      </c>
      <c r="J71">
        <v>4</v>
      </c>
    </row>
    <row r="72" spans="1:10" x14ac:dyDescent="0.25">
      <c r="A72" t="s">
        <v>209</v>
      </c>
      <c r="B72" t="s">
        <v>208</v>
      </c>
      <c r="C72">
        <v>72527273139</v>
      </c>
      <c r="D72" t="s">
        <v>18</v>
      </c>
      <c r="E72" t="s">
        <v>100</v>
      </c>
      <c r="F72" t="s">
        <v>161</v>
      </c>
      <c r="G72">
        <v>50</v>
      </c>
      <c r="H72" t="s">
        <v>21</v>
      </c>
      <c r="I72" s="1">
        <v>2.0299999999999998</v>
      </c>
      <c r="J72">
        <v>10</v>
      </c>
    </row>
    <row r="73" spans="1:10" x14ac:dyDescent="0.25">
      <c r="A73" t="s">
        <v>211</v>
      </c>
      <c r="B73" t="s">
        <v>210</v>
      </c>
      <c r="C73">
        <v>72527273140</v>
      </c>
      <c r="D73" t="s">
        <v>12</v>
      </c>
      <c r="E73" t="s">
        <v>47</v>
      </c>
      <c r="F73" t="s">
        <v>14</v>
      </c>
      <c r="G73">
        <v>41</v>
      </c>
      <c r="H73" t="s">
        <v>15</v>
      </c>
      <c r="I73" s="1">
        <v>47.92</v>
      </c>
      <c r="J73">
        <v>4</v>
      </c>
    </row>
    <row r="74" spans="1:10" x14ac:dyDescent="0.25">
      <c r="A74" t="s">
        <v>213</v>
      </c>
      <c r="B74" t="s">
        <v>212</v>
      </c>
      <c r="C74">
        <v>72527273141</v>
      </c>
      <c r="D74" t="s">
        <v>18</v>
      </c>
      <c r="E74" t="s">
        <v>96</v>
      </c>
      <c r="F74" t="s">
        <v>214</v>
      </c>
      <c r="G74">
        <v>25</v>
      </c>
      <c r="H74" t="s">
        <v>21</v>
      </c>
      <c r="I74" s="1">
        <v>45.98</v>
      </c>
      <c r="J74">
        <v>7</v>
      </c>
    </row>
    <row r="75" spans="1:10" x14ac:dyDescent="0.25">
      <c r="A75" t="s">
        <v>216</v>
      </c>
      <c r="B75" t="s">
        <v>215</v>
      </c>
      <c r="C75">
        <v>72527273142</v>
      </c>
      <c r="D75" t="s">
        <v>12</v>
      </c>
      <c r="E75" t="s">
        <v>47</v>
      </c>
      <c r="F75" t="s">
        <v>217</v>
      </c>
      <c r="G75">
        <v>21</v>
      </c>
      <c r="H75" t="s">
        <v>15</v>
      </c>
      <c r="I75" s="1">
        <v>47.03</v>
      </c>
      <c r="J75">
        <v>7</v>
      </c>
    </row>
    <row r="76" spans="1:10" x14ac:dyDescent="0.25">
      <c r="A76" t="s">
        <v>82</v>
      </c>
      <c r="B76" t="s">
        <v>218</v>
      </c>
      <c r="C76">
        <v>72527273143</v>
      </c>
      <c r="D76" t="s">
        <v>18</v>
      </c>
      <c r="E76" t="s">
        <v>19</v>
      </c>
      <c r="F76" t="s">
        <v>20</v>
      </c>
      <c r="G76">
        <v>48</v>
      </c>
      <c r="H76" t="s">
        <v>21</v>
      </c>
      <c r="I76" s="1">
        <v>7.13</v>
      </c>
      <c r="J76">
        <v>2</v>
      </c>
    </row>
    <row r="77" spans="1:10" x14ac:dyDescent="0.25">
      <c r="A77" t="s">
        <v>220</v>
      </c>
      <c r="B77" t="s">
        <v>219</v>
      </c>
      <c r="C77">
        <v>72527273144</v>
      </c>
      <c r="D77" t="s">
        <v>12</v>
      </c>
      <c r="E77" t="s">
        <v>13</v>
      </c>
      <c r="F77" t="s">
        <v>221</v>
      </c>
      <c r="G77">
        <v>39</v>
      </c>
      <c r="H77" t="s">
        <v>15</v>
      </c>
      <c r="I77" s="1">
        <v>40.03</v>
      </c>
      <c r="J77">
        <v>5</v>
      </c>
    </row>
    <row r="78" spans="1:10" x14ac:dyDescent="0.25">
      <c r="A78" t="s">
        <v>223</v>
      </c>
      <c r="B78" t="s">
        <v>222</v>
      </c>
      <c r="C78">
        <v>72527273145</v>
      </c>
      <c r="D78" t="s">
        <v>18</v>
      </c>
      <c r="E78" t="s">
        <v>186</v>
      </c>
      <c r="F78" t="s">
        <v>20</v>
      </c>
      <c r="G78">
        <v>34</v>
      </c>
      <c r="H78" t="s">
        <v>21</v>
      </c>
      <c r="I78" s="1">
        <v>47.22</v>
      </c>
      <c r="J78">
        <v>8</v>
      </c>
    </row>
    <row r="79" spans="1:10" x14ac:dyDescent="0.25">
      <c r="A79" t="s">
        <v>225</v>
      </c>
      <c r="B79" t="s">
        <v>224</v>
      </c>
      <c r="C79">
        <v>72527273146</v>
      </c>
      <c r="D79" t="s">
        <v>12</v>
      </c>
      <c r="E79" t="s">
        <v>13</v>
      </c>
      <c r="F79" t="s">
        <v>226</v>
      </c>
      <c r="G79">
        <v>43</v>
      </c>
      <c r="H79" t="s">
        <v>15</v>
      </c>
      <c r="I79" s="1">
        <v>14.37</v>
      </c>
      <c r="J79">
        <v>6</v>
      </c>
    </row>
    <row r="80" spans="1:10" x14ac:dyDescent="0.25">
      <c r="A80" t="s">
        <v>228</v>
      </c>
      <c r="B80" t="s">
        <v>227</v>
      </c>
      <c r="C80">
        <v>72527273147</v>
      </c>
      <c r="D80" t="s">
        <v>18</v>
      </c>
      <c r="E80" t="s">
        <v>64</v>
      </c>
      <c r="F80" t="s">
        <v>101</v>
      </c>
      <c r="G80">
        <v>17</v>
      </c>
      <c r="H80" t="s">
        <v>21</v>
      </c>
      <c r="I80" s="1">
        <v>3.05</v>
      </c>
      <c r="J80">
        <v>2</v>
      </c>
    </row>
    <row r="81" spans="1:10" x14ac:dyDescent="0.25">
      <c r="A81" t="s">
        <v>55</v>
      </c>
      <c r="B81" t="s">
        <v>229</v>
      </c>
      <c r="C81">
        <v>72527273148</v>
      </c>
      <c r="D81" t="s">
        <v>12</v>
      </c>
      <c r="E81" t="s">
        <v>56</v>
      </c>
      <c r="F81" t="s">
        <v>57</v>
      </c>
      <c r="G81">
        <v>14</v>
      </c>
      <c r="H81" t="s">
        <v>15</v>
      </c>
      <c r="I81" s="1">
        <v>23.43</v>
      </c>
      <c r="J81">
        <v>10</v>
      </c>
    </row>
    <row r="82" spans="1:10" x14ac:dyDescent="0.25">
      <c r="A82" t="s">
        <v>231</v>
      </c>
      <c r="B82" t="s">
        <v>230</v>
      </c>
      <c r="C82">
        <v>72527273149</v>
      </c>
      <c r="D82" t="s">
        <v>18</v>
      </c>
      <c r="E82" t="s">
        <v>96</v>
      </c>
      <c r="F82" t="s">
        <v>232</v>
      </c>
      <c r="G82">
        <v>20</v>
      </c>
      <c r="H82" t="s">
        <v>21</v>
      </c>
      <c r="I82" s="1">
        <v>43.67</v>
      </c>
      <c r="J82">
        <v>5</v>
      </c>
    </row>
    <row r="83" spans="1:10" x14ac:dyDescent="0.25">
      <c r="A83" t="s">
        <v>234</v>
      </c>
      <c r="B83" t="s">
        <v>233</v>
      </c>
      <c r="C83">
        <v>72527273150</v>
      </c>
      <c r="D83" t="s">
        <v>12</v>
      </c>
      <c r="E83" t="s">
        <v>13</v>
      </c>
      <c r="F83" t="s">
        <v>14</v>
      </c>
      <c r="G83">
        <v>6</v>
      </c>
      <c r="H83" t="s">
        <v>15</v>
      </c>
      <c r="I83" s="1">
        <v>17.97</v>
      </c>
      <c r="J83">
        <v>6</v>
      </c>
    </row>
    <row r="84" spans="1:10" x14ac:dyDescent="0.25">
      <c r="A84" t="s">
        <v>236</v>
      </c>
      <c r="B84" t="s">
        <v>235</v>
      </c>
      <c r="C84">
        <v>72527273151</v>
      </c>
      <c r="D84" t="s">
        <v>18</v>
      </c>
      <c r="E84" t="s">
        <v>64</v>
      </c>
      <c r="F84" t="s">
        <v>65</v>
      </c>
      <c r="G84">
        <v>20</v>
      </c>
      <c r="H84" t="s">
        <v>21</v>
      </c>
      <c r="I84" s="1">
        <v>16.04</v>
      </c>
      <c r="J84">
        <v>7</v>
      </c>
    </row>
    <row r="85" spans="1:10" x14ac:dyDescent="0.25">
      <c r="A85" t="s">
        <v>238</v>
      </c>
      <c r="B85" t="s">
        <v>237</v>
      </c>
      <c r="C85">
        <v>72527273152</v>
      </c>
      <c r="D85" t="s">
        <v>12</v>
      </c>
      <c r="E85" t="s">
        <v>37</v>
      </c>
      <c r="F85" t="s">
        <v>239</v>
      </c>
      <c r="G85">
        <v>12</v>
      </c>
      <c r="H85" t="s">
        <v>15</v>
      </c>
      <c r="I85" s="1">
        <v>7.61</v>
      </c>
      <c r="J85">
        <v>3</v>
      </c>
    </row>
    <row r="86" spans="1:10" x14ac:dyDescent="0.25">
      <c r="A86" t="s">
        <v>241</v>
      </c>
      <c r="B86" t="s">
        <v>240</v>
      </c>
      <c r="C86">
        <v>72527273153</v>
      </c>
      <c r="D86" t="s">
        <v>18</v>
      </c>
      <c r="E86" t="s">
        <v>64</v>
      </c>
      <c r="F86" t="s">
        <v>242</v>
      </c>
      <c r="G86">
        <v>41</v>
      </c>
      <c r="H86" t="s">
        <v>21</v>
      </c>
      <c r="I86" s="1">
        <v>38.630000000000003</v>
      </c>
      <c r="J86">
        <v>10</v>
      </c>
    </row>
    <row r="87" spans="1:10" x14ac:dyDescent="0.25">
      <c r="A87" t="s">
        <v>244</v>
      </c>
      <c r="B87" t="s">
        <v>243</v>
      </c>
      <c r="C87">
        <v>72527273154</v>
      </c>
      <c r="D87" t="s">
        <v>12</v>
      </c>
      <c r="E87" t="s">
        <v>13</v>
      </c>
      <c r="F87" t="s">
        <v>245</v>
      </c>
      <c r="G87">
        <v>9</v>
      </c>
      <c r="H87" t="s">
        <v>15</v>
      </c>
      <c r="I87" s="1">
        <v>48.2</v>
      </c>
      <c r="J87">
        <v>6</v>
      </c>
    </row>
    <row r="88" spans="1:10" x14ac:dyDescent="0.25">
      <c r="A88" t="s">
        <v>95</v>
      </c>
      <c r="B88" t="s">
        <v>246</v>
      </c>
      <c r="C88">
        <v>72527273155</v>
      </c>
      <c r="D88" t="s">
        <v>18</v>
      </c>
      <c r="E88" t="s">
        <v>96</v>
      </c>
      <c r="F88" t="s">
        <v>97</v>
      </c>
      <c r="G88">
        <v>38</v>
      </c>
      <c r="H88" t="s">
        <v>21</v>
      </c>
      <c r="I88" s="1">
        <v>31.7</v>
      </c>
      <c r="J88">
        <v>9</v>
      </c>
    </row>
    <row r="89" spans="1:10" x14ac:dyDescent="0.25">
      <c r="A89" t="s">
        <v>248</v>
      </c>
      <c r="B89" t="s">
        <v>247</v>
      </c>
      <c r="C89">
        <v>72527273156</v>
      </c>
      <c r="D89" t="s">
        <v>12</v>
      </c>
      <c r="E89" t="s">
        <v>119</v>
      </c>
      <c r="F89" t="s">
        <v>14</v>
      </c>
      <c r="G89">
        <v>35</v>
      </c>
      <c r="H89" t="s">
        <v>15</v>
      </c>
      <c r="I89" s="1">
        <v>30.33</v>
      </c>
      <c r="J89">
        <v>5</v>
      </c>
    </row>
    <row r="90" spans="1:10" x14ac:dyDescent="0.25">
      <c r="A90" t="s">
        <v>250</v>
      </c>
      <c r="B90" t="s">
        <v>249</v>
      </c>
      <c r="C90">
        <v>72527273157</v>
      </c>
      <c r="D90" t="s">
        <v>18</v>
      </c>
      <c r="E90" t="s">
        <v>60</v>
      </c>
      <c r="F90" t="s">
        <v>251</v>
      </c>
      <c r="G90">
        <v>9</v>
      </c>
      <c r="H90" t="s">
        <v>21</v>
      </c>
      <c r="I90" s="1">
        <v>7.05</v>
      </c>
      <c r="J90">
        <v>3</v>
      </c>
    </row>
    <row r="91" spans="1:10" x14ac:dyDescent="0.25">
      <c r="A91" t="s">
        <v>253</v>
      </c>
      <c r="B91" t="s">
        <v>252</v>
      </c>
      <c r="C91">
        <v>72527273158</v>
      </c>
      <c r="D91" t="s">
        <v>12</v>
      </c>
      <c r="E91" t="s">
        <v>13</v>
      </c>
      <c r="F91" t="s">
        <v>14</v>
      </c>
      <c r="G91">
        <v>0</v>
      </c>
      <c r="H91" t="s">
        <v>15</v>
      </c>
      <c r="I91" s="1">
        <v>43.18</v>
      </c>
      <c r="J91">
        <v>4</v>
      </c>
    </row>
    <row r="92" spans="1:10" x14ac:dyDescent="0.25">
      <c r="A92" t="s">
        <v>255</v>
      </c>
      <c r="B92" t="s">
        <v>254</v>
      </c>
      <c r="C92">
        <v>72527273159</v>
      </c>
      <c r="D92" t="s">
        <v>18</v>
      </c>
      <c r="E92" t="s">
        <v>60</v>
      </c>
      <c r="F92" t="s">
        <v>256</v>
      </c>
      <c r="G92">
        <v>39</v>
      </c>
      <c r="H92" t="s">
        <v>21</v>
      </c>
      <c r="I92" s="1">
        <v>21.4</v>
      </c>
      <c r="J92">
        <v>4</v>
      </c>
    </row>
    <row r="93" spans="1:10" x14ac:dyDescent="0.25">
      <c r="A93" t="s">
        <v>258</v>
      </c>
      <c r="B93" t="s">
        <v>257</v>
      </c>
      <c r="C93">
        <v>72527273160</v>
      </c>
      <c r="D93" t="s">
        <v>12</v>
      </c>
      <c r="E93" t="s">
        <v>37</v>
      </c>
      <c r="F93" t="s">
        <v>14</v>
      </c>
      <c r="G93">
        <v>41</v>
      </c>
      <c r="H93" t="s">
        <v>15</v>
      </c>
      <c r="I93" s="1">
        <v>12.9</v>
      </c>
      <c r="J93">
        <v>8</v>
      </c>
    </row>
    <row r="94" spans="1:10" x14ac:dyDescent="0.25">
      <c r="A94" t="s">
        <v>260</v>
      </c>
      <c r="B94" t="s">
        <v>259</v>
      </c>
      <c r="C94">
        <v>72527273161</v>
      </c>
      <c r="D94" t="s">
        <v>18</v>
      </c>
      <c r="E94" t="s">
        <v>261</v>
      </c>
      <c r="F94" t="s">
        <v>20</v>
      </c>
      <c r="G94">
        <v>2</v>
      </c>
      <c r="H94" t="s">
        <v>21</v>
      </c>
      <c r="I94" s="1">
        <v>37.020000000000003</v>
      </c>
      <c r="J94">
        <v>10</v>
      </c>
    </row>
    <row r="95" spans="1:10" x14ac:dyDescent="0.25">
      <c r="A95" t="s">
        <v>263</v>
      </c>
      <c r="B95" t="s">
        <v>262</v>
      </c>
      <c r="C95">
        <v>72527273162</v>
      </c>
      <c r="D95" t="s">
        <v>12</v>
      </c>
      <c r="E95" t="s">
        <v>47</v>
      </c>
      <c r="F95" t="s">
        <v>48</v>
      </c>
      <c r="G95">
        <v>22</v>
      </c>
      <c r="H95" t="s">
        <v>15</v>
      </c>
      <c r="I95" s="1">
        <v>37.200000000000003</v>
      </c>
      <c r="J95">
        <v>6</v>
      </c>
    </row>
    <row r="96" spans="1:10" x14ac:dyDescent="0.25">
      <c r="A96" t="s">
        <v>265</v>
      </c>
      <c r="B96" t="s">
        <v>264</v>
      </c>
      <c r="C96">
        <v>72527273163</v>
      </c>
      <c r="D96" t="s">
        <v>18</v>
      </c>
      <c r="E96" t="s">
        <v>266</v>
      </c>
      <c r="F96" t="s">
        <v>267</v>
      </c>
      <c r="G96">
        <v>25</v>
      </c>
      <c r="H96" t="s">
        <v>21</v>
      </c>
      <c r="I96" s="1">
        <v>8.26</v>
      </c>
      <c r="J96">
        <v>1</v>
      </c>
    </row>
    <row r="97" spans="1:10" x14ac:dyDescent="0.25">
      <c r="A97" t="s">
        <v>269</v>
      </c>
      <c r="B97" t="s">
        <v>268</v>
      </c>
      <c r="C97">
        <v>72527273164</v>
      </c>
      <c r="D97" t="s">
        <v>12</v>
      </c>
      <c r="E97" t="s">
        <v>13</v>
      </c>
      <c r="F97" t="s">
        <v>14</v>
      </c>
      <c r="G97">
        <v>19</v>
      </c>
      <c r="H97" t="s">
        <v>15</v>
      </c>
      <c r="I97" s="1">
        <v>15.34</v>
      </c>
      <c r="J97">
        <v>7</v>
      </c>
    </row>
    <row r="98" spans="1:10" x14ac:dyDescent="0.25">
      <c r="A98" t="s">
        <v>271</v>
      </c>
      <c r="B98" t="s">
        <v>270</v>
      </c>
      <c r="C98">
        <v>72527273165</v>
      </c>
      <c r="D98" t="s">
        <v>18</v>
      </c>
      <c r="E98" t="s">
        <v>201</v>
      </c>
      <c r="F98" t="s">
        <v>101</v>
      </c>
      <c r="G98">
        <v>29</v>
      </c>
      <c r="H98" t="s">
        <v>21</v>
      </c>
      <c r="I98" s="1">
        <v>25.78</v>
      </c>
      <c r="J98">
        <v>7</v>
      </c>
    </row>
    <row r="99" spans="1:10" x14ac:dyDescent="0.25">
      <c r="A99" t="s">
        <v>273</v>
      </c>
      <c r="B99" t="s">
        <v>272</v>
      </c>
      <c r="C99">
        <v>72527273166</v>
      </c>
      <c r="D99" t="s">
        <v>12</v>
      </c>
      <c r="E99" t="s">
        <v>37</v>
      </c>
      <c r="F99" t="s">
        <v>274</v>
      </c>
      <c r="G99">
        <v>24</v>
      </c>
      <c r="H99" t="s">
        <v>15</v>
      </c>
      <c r="I99" s="1">
        <v>15.56</v>
      </c>
      <c r="J99">
        <v>2</v>
      </c>
    </row>
    <row r="100" spans="1:10" x14ac:dyDescent="0.25">
      <c r="A100" t="s">
        <v>276</v>
      </c>
      <c r="B100" t="s">
        <v>275</v>
      </c>
      <c r="C100">
        <v>72527273167</v>
      </c>
      <c r="D100" t="s">
        <v>18</v>
      </c>
      <c r="E100" t="s">
        <v>164</v>
      </c>
      <c r="F100" t="s">
        <v>132</v>
      </c>
      <c r="G100">
        <v>35</v>
      </c>
      <c r="H100" t="s">
        <v>21</v>
      </c>
      <c r="I100" s="1">
        <v>6.49</v>
      </c>
      <c r="J100">
        <v>7</v>
      </c>
    </row>
    <row r="101" spans="1:10" x14ac:dyDescent="0.25">
      <c r="A101" t="s">
        <v>278</v>
      </c>
      <c r="B101" t="s">
        <v>277</v>
      </c>
      <c r="C101">
        <v>72527273168</v>
      </c>
      <c r="D101" t="s">
        <v>12</v>
      </c>
      <c r="E101" t="s">
        <v>13</v>
      </c>
      <c r="F101" t="s">
        <v>279</v>
      </c>
      <c r="G101">
        <v>44</v>
      </c>
      <c r="H101" t="s">
        <v>15</v>
      </c>
      <c r="I101" s="1">
        <v>20.85</v>
      </c>
      <c r="J101">
        <v>7</v>
      </c>
    </row>
    <row r="102" spans="1:10" x14ac:dyDescent="0.25">
      <c r="A102" t="s">
        <v>281</v>
      </c>
      <c r="B102" t="s">
        <v>280</v>
      </c>
      <c r="C102">
        <v>72527273169</v>
      </c>
      <c r="D102" t="s">
        <v>18</v>
      </c>
      <c r="E102" t="s">
        <v>60</v>
      </c>
      <c r="F102" t="s">
        <v>282</v>
      </c>
      <c r="G102">
        <v>18</v>
      </c>
      <c r="H102" t="s">
        <v>21</v>
      </c>
      <c r="I102" s="1">
        <v>25.3</v>
      </c>
      <c r="J10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Product Catalog Database.csv</vt:lpstr>
      <vt:lpstr>Sheet1</vt:lpstr>
      <vt:lpstr>Sheet2</vt:lpstr>
      <vt:lpstr>Sheet1!Criteria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 Dong</cp:lastModifiedBy>
  <dcterms:created xsi:type="dcterms:W3CDTF">2025-11-10T19:06:13Z</dcterms:created>
  <dcterms:modified xsi:type="dcterms:W3CDTF">2025-11-10T19:57:47Z</dcterms:modified>
</cp:coreProperties>
</file>